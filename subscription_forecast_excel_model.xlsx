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puts" sheetId="2" state="visible" r:id="rId4"/>
    <sheet name="Churn Curve" sheetId="3" state="visible" r:id="rId5"/>
    <sheet name="Forecast" sheetId="4" state="visible" r:id="rId6"/>
    <sheet name="Cohort Waterfal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Output of subrev.analysis.forecast() in run.py.</t>
        </r>
      </text>
    </comment>
    <comment ref="C11" authorId="0">
      <text>
        <r>
          <rPr>
            <sz val="10"/>
            <rFont val="Arial"/>
            <family val="2"/>
          </rPr>
          <t xml:space="preserve">Output of subrev.analysis.forecast() in run.py.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Fitted by the Python cohort model (run.py) on simulated Jan 2022 - Dec 2025 history.</t>
        </r>
      </text>
    </comment>
    <comment ref="B5" authorId="0">
      <text>
        <r>
          <rPr>
            <sz val="10"/>
            <rFont val="Arial"/>
            <family val="2"/>
          </rPr>
          <t xml:space="preserve">Fitted by the Python cohort model (run.py) on simulated Jan 2022 - Dec 2025 history.</t>
        </r>
      </text>
    </comment>
    <comment ref="B6" authorId="0">
      <text>
        <r>
          <rPr>
            <sz val="10"/>
            <rFont val="Arial"/>
            <family val="2"/>
          </rPr>
          <t xml:space="preserve">Fitted by the Python cohort model (run.py) on simulated Jan 2022 - Dec 2025 history.</t>
        </r>
      </text>
    </comment>
    <comment ref="B7" authorId="0">
      <text>
        <r>
          <rPr>
            <sz val="10"/>
            <rFont val="Arial"/>
            <family val="2"/>
          </rPr>
          <t xml:space="preserve">Actual Dec 2025 trial starts.</t>
        </r>
      </text>
    </comment>
    <comment ref="B8" authorId="0">
      <text>
        <r>
          <rPr>
            <sz val="10"/>
            <rFont val="Arial"/>
            <family val="2"/>
          </rPr>
          <t xml:space="preserve">Fitted by the Python cohort model (run.py) on simulated Jan 2022 - Dec 2025 history. Trailing 6 months.</t>
        </r>
      </text>
    </comment>
    <comment ref="B9" authorId="0">
      <text>
        <r>
          <rPr>
            <sz val="10"/>
            <rFont val="Arial"/>
            <family val="2"/>
          </rPr>
          <t xml:space="preserve">Fitted by the Python cohort model (run.py) on simulated Jan 2022 - Dec 2025 history.</t>
        </r>
      </text>
    </comment>
    <comment ref="B10" authorId="0">
      <text>
        <r>
          <rPr>
            <sz val="10"/>
            <rFont val="Arial"/>
            <family val="2"/>
          </rPr>
          <t xml:space="preserve">Fitted by the Python cohort model (run.py) on simulated Jan 2022 - Dec 2025 history.</t>
        </r>
      </text>
    </comment>
    <comment ref="B11" authorId="0">
      <text>
        <r>
          <rPr>
            <sz val="10"/>
            <rFont val="Arial"/>
            <family val="2"/>
          </rPr>
          <t xml:space="preserve">Fitted by the Python cohort model (run.py) on simulated Jan 2022 - Dec 2025 history.</t>
        </r>
      </text>
    </comment>
    <comment ref="B12" authorId="0">
      <text>
        <r>
          <rPr>
            <sz val="10"/>
            <rFont val="Arial"/>
            <family val="2"/>
          </rPr>
          <t xml:space="preserve">Fitted by the Python cohort model (run.py) on simulated Jan 2022 - Dec 2025 history.</t>
        </r>
      </text>
    </comment>
    <comment ref="B13" authorId="0">
      <text>
        <r>
          <rPr>
            <sz val="10"/>
            <rFont val="Arial"/>
            <family val="2"/>
          </rPr>
          <t xml:space="preserve">Fitted by the Python cohort model (run.py) on simulated Jan 2022 - Dec 2025 history. Dec 2025 FX.</t>
        </r>
      </text>
    </comment>
    <comment ref="B14" authorId="0">
      <text>
        <r>
          <rPr>
            <sz val="10"/>
            <rFont val="Arial"/>
            <family val="2"/>
          </rPr>
          <t xml:space="preserve">Fitted by the Python cohort model (run.py) on simulated Jan 2022 - Dec 2025 history. Dec 2025 FX.</t>
        </r>
      </text>
    </comment>
    <comment ref="B15" authorId="0">
      <text>
        <r>
          <rPr>
            <sz val="10"/>
            <rFont val="Arial"/>
            <family val="2"/>
          </rPr>
          <t xml:space="preserve">Fitted by the Python cohort model (run.py) on simulated Jan 2022 - Dec 2025 history. Dec 2025 currency mix.</t>
        </r>
      </text>
    </comment>
    <comment ref="B16" authorId="0">
      <text>
        <r>
          <rPr>
            <sz val="10"/>
            <rFont val="Arial"/>
            <family val="2"/>
          </rPr>
          <t xml:space="preserve">Choose Base, USD +10% or USD -10%.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0" authorId="0">
      <text>
        <r>
          <rPr>
            <sz val="10"/>
            <rFont val="Arial"/>
            <family val="2"/>
          </rPr>
          <t xml:space="preserve">Dec 2025 subscribers carried forward on the fitted churn curve by their tenure; computed in Python (run.py).</t>
        </r>
      </text>
    </comment>
    <comment ref="A13" authorId="0">
      <text>
        <r>
          <rPr>
            <sz val="10"/>
            <rFont val="Arial"/>
            <family val="2"/>
          </rPr>
          <t xml:space="preserve">Dec 2025 annual subscribers, renewing at each anniversary; computed in Python (run.py).</t>
        </r>
      </text>
    </comment>
  </commentList>
</comments>
</file>

<file path=xl/sharedStrings.xml><?xml version="1.0" encoding="utf-8"?>
<sst xmlns="http://schemas.openxmlformats.org/spreadsheetml/2006/main" count="185" uniqueCount="84">
  <si>
    <t xml:space="preserve">Subscription Revenue Forecast - Summary</t>
  </si>
  <si>
    <t xml:space="preserve">Simulated business for portfolio use; not real company data. Change inputs on the Inputs tab.</t>
  </si>
  <si>
    <t xml:space="preserve">FY2026</t>
  </si>
  <si>
    <t xml:space="preserve">FY2027</t>
  </si>
  <si>
    <t xml:space="preserve">YoY growth</t>
  </si>
  <si>
    <t xml:space="preserve">Net revenue, constant currency ($)</t>
  </si>
  <si>
    <t xml:space="preserve">Net revenue, selected FX scenario ($)</t>
  </si>
  <si>
    <t xml:space="preserve">Ending active subscribers</t>
  </si>
  <si>
    <t xml:space="preserve">FX impact vs constant currency ($)</t>
  </si>
  <si>
    <t xml:space="preserve">Check against Python model</t>
  </si>
  <si>
    <t xml:space="preserve">Python forecast, constant currency ($)</t>
  </si>
  <si>
    <t xml:space="preserve">Difference (Excel vs Python)</t>
  </si>
  <si>
    <t xml:space="preserve">Scenario in use</t>
  </si>
  <si>
    <t xml:space="preserve">Subscription Revenue Forecast - Driver Inputs</t>
  </si>
  <si>
    <t xml:space="preserve">Blue = input you can change. Yellow = key assumption. Black = formula. Green = link to another sheet.</t>
  </si>
  <si>
    <t xml:space="preserve">Trial starts, Jan 2026 (trend, before seasonality)</t>
  </si>
  <si>
    <t xml:space="preserve">Trial starts growth, month over month</t>
  </si>
  <si>
    <t xml:space="preserve">December seasonality factor</t>
  </si>
  <si>
    <t xml:space="preserve">Trial starts in Dec 2025 (convert in Jan 2026)</t>
  </si>
  <si>
    <t xml:space="preserve">Trial-to-paid conversion</t>
  </si>
  <si>
    <t xml:space="preserve">Share of new payers choosing annual plan</t>
  </si>
  <si>
    <t xml:space="preserve">Churn curve a  (churn = a x tenure^b)</t>
  </si>
  <si>
    <t xml:space="preserve">Churn curve b</t>
  </si>
  <si>
    <t xml:space="preserve">Annual-plan renewal rate</t>
  </si>
  <si>
    <t xml:space="preserve">Net ARPU, monthly plan (USD / month, after fees)</t>
  </si>
  <si>
    <t xml:space="preserve">Net ARPU, annual plan (USD / month recognized)</t>
  </si>
  <si>
    <t xml:space="preserve">Non-USD share of revenue</t>
  </si>
  <si>
    <t xml:space="preserve">FX scenario (pick from list)</t>
  </si>
  <si>
    <t xml:space="preserve">Base</t>
  </si>
  <si>
    <t xml:space="preserve">FX scenario table</t>
  </si>
  <si>
    <t xml:space="preserve">Scenario</t>
  </si>
  <si>
    <t xml:space="preserve">Non-USD currencies vs USD</t>
  </si>
  <si>
    <t xml:space="preserve">USD +10%</t>
  </si>
  <si>
    <t xml:space="preserve">USD -10%</t>
  </si>
  <si>
    <t xml:space="preserve">Selected FX shock</t>
  </si>
  <si>
    <t xml:space="preserve">Monthly-Plan Churn Curve and Survival</t>
  </si>
  <si>
    <t xml:space="preserve">Paid tenure (months)</t>
  </si>
  <si>
    <t xml:space="preserve">Churn rate</t>
  </si>
  <si>
    <t xml:space="preserve">Survival (still active)</t>
  </si>
  <si>
    <t xml:space="preserve">Cohort-Based Revenue Forecast, Jan 2026 - Dec 2027 (USD)</t>
  </si>
  <si>
    <t xml:space="preserve">Month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</si>
  <si>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</si>
  <si>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</si>
  <si>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</si>
  <si>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</si>
  <si>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</si>
  <si>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</si>
  <si>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</si>
  <si>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</si>
  <si>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</si>
  <si>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</si>
  <si>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</si>
  <si>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</si>
  <si>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</si>
  <si>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</si>
  <si>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</si>
  <si>
    <t xml:space="preserve">2027-04</t>
  </si>
  <si>
    <t xml:space="preserve">2027-05</t>
  </si>
  <si>
    <t xml:space="preserve">2027-06</t>
  </si>
  <si>
    <t xml:space="preserve">2027-07</t>
  </si>
  <si>
    <t xml:space="preserve">2027-08</t>
  </si>
  <si>
    <t xml:space="preserve">2027-09</t>
  </si>
  <si>
    <t xml:space="preserve">2027-10</t>
  </si>
  <si>
    <t xml:space="preserve">2027-11</t>
  </si>
  <si>
    <t xml:space="preserve">2027-12</t>
  </si>
  <si>
    <t xml:space="preserve">Forecast month #</t>
  </si>
  <si>
    <t xml:space="preserve">Trial starts</t>
  </si>
  <si>
    <t xml:space="preserve">New paying subscribers</t>
  </si>
  <si>
    <t xml:space="preserve">  of which monthly plan</t>
  </si>
  <si>
    <t xml:space="preserve">  of which annual plan</t>
  </si>
  <si>
    <t xml:space="preserve">Subscribers</t>
  </si>
  <si>
    <t xml:space="preserve">Existing monthly subs (Dec 2025 base)</t>
  </si>
  <si>
    <t xml:space="preserve">New monthly-plan cohorts still active</t>
  </si>
  <si>
    <t xml:space="preserve">Active monthly-plan subs</t>
  </si>
  <si>
    <t xml:space="preserve">Existing annual subs (Dec 2025 base)</t>
  </si>
  <si>
    <t xml:space="preserve">New annual-plan cohorts still active</t>
  </si>
  <si>
    <t xml:space="preserve">Active annual-plan subs</t>
  </si>
  <si>
    <t xml:space="preserve">Total active subscribers</t>
  </si>
  <si>
    <t xml:space="preserve">Revenue</t>
  </si>
  <si>
    <t xml:space="preserve">Cohort Waterfall: active subscribers by start month (rows) and calendar month (columns)</t>
  </si>
  <si>
    <t xml:space="preserve">Monthly plan: new payers x survival from the churn curve</t>
  </si>
  <si>
    <t xml:space="preserve">Cohort start</t>
  </si>
  <si>
    <t xml:space="preserve">Total</t>
  </si>
  <si>
    <t xml:space="preserve">Annual plan: new payers x renewal rate at each anniversary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</si>
</sst>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%;\(0.0%\);\-"/>
    <numFmt numFmtId="167" formatCode="#,##0;\(#,##0\);\-"/>
    <numFmt numFmtId="168" formatCode="0.00\x"/>
    <numFmt numFmtId="169" formatCode="0.000"/>
    <numFmt numFmtId="170" formatCode="\$#,##0.00;&quot;($&quot;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4"/>
      <c r="B4" s="4" t="s">
        <v>2</v>
      </c>
      <c r="C4" s="4" t="s">
        <v>3</v>
      </c>
      <c r="D4" s="4" t="s">
        <v>4</v>
      </c>
    </row>
    <row r="5" customFormat="false" ht="15" hidden="false" customHeight="false" outlineLevel="0" collapsed="false">
      <c r="A5" s="5" t="s">
        <v>5</v>
      </c>
      <c r="B5" s="6" t="n">
        <f aca="false">SUM(Forecast!B18:M18)</f>
        <v>4279471.39714077</v>
      </c>
      <c r="C5" s="6" t="n">
        <f aca="false">SUM(Forecast!N18:Y18)</f>
        <v>5198414.84955616</v>
      </c>
      <c r="D5" s="7" t="n">
        <f aca="false">IFERROR(C5/B5-1,0)</f>
        <v>0.214732934780068</v>
      </c>
    </row>
    <row r="6" customFormat="false" ht="15" hidden="false" customHeight="false" outlineLevel="0" collapsed="false">
      <c r="A6" s="5" t="s">
        <v>6</v>
      </c>
      <c r="B6" s="6" t="n">
        <f aca="false">SUM(Forecast!B19:M19)</f>
        <v>4279471.39714077</v>
      </c>
      <c r="C6" s="6" t="n">
        <f aca="false">SUM(Forecast!N19:Y19)</f>
        <v>5198414.84955616</v>
      </c>
      <c r="D6" s="7" t="n">
        <f aca="false">IFERROR(C6/B6-1,0)</f>
        <v>0.214732934780068</v>
      </c>
    </row>
    <row r="7" customFormat="false" ht="15" hidden="false" customHeight="false" outlineLevel="0" collapsed="false">
      <c r="A7" s="5" t="s">
        <v>7</v>
      </c>
      <c r="B7" s="8" t="n">
        <f aca="false">Forecast!M16</f>
        <v>50942.0783827871</v>
      </c>
      <c r="C7" s="8" t="n">
        <f aca="false">Forecast!Y16</f>
        <v>61290.7368876899</v>
      </c>
      <c r="D7" s="7" t="n">
        <f aca="false">IFERROR(C7/B7-1,0)</f>
        <v>0.203145588743776</v>
      </c>
    </row>
    <row r="8" customFormat="false" ht="15" hidden="false" customHeight="false" outlineLevel="0" collapsed="false">
      <c r="A8" s="5" t="s">
        <v>8</v>
      </c>
      <c r="B8" s="9" t="n">
        <f aca="false">B6-B5</f>
        <v>0</v>
      </c>
      <c r="C8" s="9" t="n">
        <f aca="false">C6-C5</f>
        <v>0</v>
      </c>
      <c r="D8" s="2"/>
    </row>
    <row r="9" customFormat="false" ht="15" hidden="false" customHeight="false" outlineLevel="0" collapsed="false">
      <c r="A9" s="2"/>
      <c r="B9" s="2"/>
      <c r="C9" s="2"/>
      <c r="D9" s="2"/>
    </row>
    <row r="10" customFormat="false" ht="15" hidden="false" customHeight="false" outlineLevel="0" collapsed="false">
      <c r="A10" s="5" t="s">
        <v>9</v>
      </c>
      <c r="B10" s="2"/>
      <c r="C10" s="2"/>
      <c r="D10" s="2"/>
    </row>
    <row r="11" customFormat="false" ht="15" hidden="false" customHeight="false" outlineLevel="0" collapsed="false">
      <c r="A11" s="2" t="s">
        <v>10</v>
      </c>
      <c r="B11" s="10" t="n">
        <v>4279471.39714077</v>
      </c>
      <c r="C11" s="10" t="n">
        <v>5198414.84955616</v>
      </c>
      <c r="D11" s="2"/>
    </row>
    <row r="12" customFormat="false" ht="15" hidden="false" customHeight="false" outlineLevel="0" collapsed="false">
      <c r="A12" s="2" t="s">
        <v>11</v>
      </c>
      <c r="B12" s="7" t="n">
        <f aca="false">IFERROR(B5/B11-1,0)</f>
        <v>0</v>
      </c>
      <c r="C12" s="7" t="n">
        <f aca="false">IFERROR(C5/C11-1,0)</f>
        <v>0</v>
      </c>
      <c r="D12" s="2"/>
    </row>
    <row r="13" customFormat="false" ht="15" hidden="false" customHeight="false" outlineLevel="0" collapsed="false">
      <c r="A13" s="2"/>
      <c r="B13" s="2"/>
      <c r="C13" s="2"/>
      <c r="D13" s="2"/>
    </row>
    <row r="14" customFormat="false" ht="15" hidden="false" customHeight="false" outlineLevel="0" collapsed="false">
      <c r="A14" s="5" t="s">
        <v>12</v>
      </c>
      <c r="B14" s="11" t="str">
        <f aca="false">Inputs!$B$16</f>
        <v>Base</v>
      </c>
      <c r="C14" s="2"/>
      <c r="D1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13</v>
      </c>
      <c r="B1" s="2"/>
    </row>
    <row r="2" customFormat="false" ht="15" hidden="false" customHeight="false" outlineLevel="0" collapsed="false">
      <c r="A2" s="3" t="s">
        <v>14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12" t="s">
        <v>15</v>
      </c>
      <c r="B4" s="13" t="n">
        <v>8181.63995709121</v>
      </c>
    </row>
    <row r="5" customFormat="false" ht="15" hidden="false" customHeight="false" outlineLevel="0" collapsed="false">
      <c r="A5" s="12" t="s">
        <v>16</v>
      </c>
      <c r="B5" s="14" t="n">
        <v>0.0125997682412395</v>
      </c>
    </row>
    <row r="6" customFormat="false" ht="15" hidden="false" customHeight="false" outlineLevel="0" collapsed="false">
      <c r="A6" s="12" t="s">
        <v>17</v>
      </c>
      <c r="B6" s="15" t="n">
        <v>1.09431803642677</v>
      </c>
    </row>
    <row r="7" customFormat="false" ht="15" hidden="false" customHeight="false" outlineLevel="0" collapsed="false">
      <c r="A7" s="12" t="s">
        <v>18</v>
      </c>
      <c r="B7" s="13" t="n">
        <v>9584</v>
      </c>
    </row>
    <row r="8" customFormat="false" ht="15" hidden="false" customHeight="false" outlineLevel="0" collapsed="false">
      <c r="A8" s="12" t="s">
        <v>19</v>
      </c>
      <c r="B8" s="14" t="n">
        <v>0.367046574403359</v>
      </c>
    </row>
    <row r="9" customFormat="false" ht="15" hidden="false" customHeight="false" outlineLevel="0" collapsed="false">
      <c r="A9" s="12" t="s">
        <v>20</v>
      </c>
      <c r="B9" s="16" t="n">
        <v>0.252436817836923</v>
      </c>
    </row>
    <row r="10" customFormat="false" ht="15" hidden="false" customHeight="false" outlineLevel="0" collapsed="false">
      <c r="A10" s="12" t="s">
        <v>21</v>
      </c>
      <c r="B10" s="17" t="n">
        <v>0.173942661319044</v>
      </c>
    </row>
    <row r="11" customFormat="false" ht="15" hidden="false" customHeight="false" outlineLevel="0" collapsed="false">
      <c r="A11" s="12" t="s">
        <v>22</v>
      </c>
      <c r="B11" s="17" t="n">
        <v>-0.45650499937878</v>
      </c>
    </row>
    <row r="12" customFormat="false" ht="15" hidden="false" customHeight="false" outlineLevel="0" collapsed="false">
      <c r="A12" s="12" t="s">
        <v>23</v>
      </c>
      <c r="B12" s="14" t="n">
        <v>0.700914034478769</v>
      </c>
    </row>
    <row r="13" customFormat="false" ht="15" hidden="false" customHeight="false" outlineLevel="0" collapsed="false">
      <c r="A13" s="12" t="s">
        <v>24</v>
      </c>
      <c r="B13" s="18" t="n">
        <v>8.43330161885488</v>
      </c>
    </row>
    <row r="14" customFormat="false" ht="15" hidden="false" customHeight="false" outlineLevel="0" collapsed="false">
      <c r="A14" s="12" t="s">
        <v>25</v>
      </c>
      <c r="B14" s="18" t="n">
        <v>6.65525130848282</v>
      </c>
    </row>
    <row r="15" customFormat="false" ht="15" hidden="false" customHeight="false" outlineLevel="0" collapsed="false">
      <c r="A15" s="12" t="s">
        <v>26</v>
      </c>
      <c r="B15" s="16" t="n">
        <v>0.470420160321328</v>
      </c>
    </row>
    <row r="16" customFormat="false" ht="15" hidden="false" customHeight="false" outlineLevel="0" collapsed="false">
      <c r="A16" s="12" t="s">
        <v>27</v>
      </c>
      <c r="B16" s="19" t="s">
        <v>28</v>
      </c>
    </row>
    <row r="17" customFormat="false" ht="15" hidden="false" customHeight="false" outlineLevel="0" collapsed="false">
      <c r="A17" s="2"/>
      <c r="B17" s="2"/>
    </row>
    <row r="18" customFormat="false" ht="15" hidden="false" customHeight="false" outlineLevel="0" collapsed="false">
      <c r="A18" s="5" t="s">
        <v>29</v>
      </c>
      <c r="B18" s="2"/>
    </row>
    <row r="19" customFormat="false" ht="15" hidden="false" customHeight="false" outlineLevel="0" collapsed="false">
      <c r="A19" s="5" t="s">
        <v>30</v>
      </c>
      <c r="B19" s="5" t="s">
        <v>31</v>
      </c>
    </row>
    <row r="20" customFormat="false" ht="15" hidden="false" customHeight="false" outlineLevel="0" collapsed="false">
      <c r="A20" s="20" t="s">
        <v>28</v>
      </c>
      <c r="B20" s="16" t="n">
        <v>0</v>
      </c>
    </row>
    <row r="21" customFormat="false" ht="15" hidden="false" customHeight="false" outlineLevel="0" collapsed="false">
      <c r="A21" s="20" t="s">
        <v>32</v>
      </c>
      <c r="B21" s="16" t="n">
        <v>-0.1</v>
      </c>
    </row>
    <row r="22" customFormat="false" ht="15" hidden="false" customHeight="false" outlineLevel="0" collapsed="false">
      <c r="A22" s="20" t="s">
        <v>33</v>
      </c>
      <c r="B22" s="16" t="n">
        <v>0.1</v>
      </c>
    </row>
    <row r="23" customFormat="false" ht="15" hidden="false" customHeight="false" outlineLevel="0" collapsed="false">
      <c r="A23" s="5" t="s">
        <v>34</v>
      </c>
      <c r="B23" s="7" t="n">
        <f aca="false">INDEX($B$20:$B$22,MATCH($B$16,$A$20:$A$22,0))</f>
        <v>0</v>
      </c>
    </row>
  </sheetData>
  <dataValidations count="1">
    <dataValidation allowBlank="false" errorStyle="stop" operator="between" showDropDown="false" showErrorMessage="false" showInputMessage="false" sqref="B16" type="list">
      <formula1>$A$20:$A$22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35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4" t="s">
        <v>36</v>
      </c>
      <c r="B3" s="4" t="s">
        <v>37</v>
      </c>
      <c r="C3" s="4" t="s">
        <v>38</v>
      </c>
    </row>
    <row r="4" customFormat="false" ht="15" hidden="false" customHeight="false" outlineLevel="0" collapsed="false">
      <c r="A4" s="12" t="n">
        <v>0</v>
      </c>
      <c r="B4" s="16" t="n">
        <v>0</v>
      </c>
      <c r="C4" s="16" t="n">
        <v>1</v>
      </c>
    </row>
    <row r="5" customFormat="false" ht="15" hidden="false" customHeight="false" outlineLevel="0" collapsed="false">
      <c r="A5" s="12" t="n">
        <v>1</v>
      </c>
      <c r="B5" s="21" t="n">
        <f aca="false">MIN(1,Inputs!$B$10*A5^Inputs!$B$11)</f>
        <v>0.173942661319044</v>
      </c>
      <c r="C5" s="22" t="n">
        <f aca="false">C4*(1-B5)</f>
        <v>0.826057338680956</v>
      </c>
    </row>
    <row r="6" customFormat="false" ht="15" hidden="false" customHeight="false" outlineLevel="0" collapsed="false">
      <c r="A6" s="12" t="n">
        <v>2</v>
      </c>
      <c r="B6" s="21" t="n">
        <f aca="false">MIN(1,Inputs!$B$10*A6^Inputs!$B$11)</f>
        <v>0.126760636869687</v>
      </c>
      <c r="C6" s="22" t="n">
        <f aca="false">C5*(1-B6)</f>
        <v>0.72134578433888</v>
      </c>
    </row>
    <row r="7" customFormat="false" ht="15" hidden="false" customHeight="false" outlineLevel="0" collapsed="false">
      <c r="A7" s="12" t="n">
        <v>3</v>
      </c>
      <c r="B7" s="21" t="n">
        <f aca="false">MIN(1,Inputs!$B$10*A7^Inputs!$B$11)</f>
        <v>0.105341105659324</v>
      </c>
      <c r="C7" s="22" t="n">
        <f aca="false">C6*(1-B7)</f>
        <v>0.645358421853929</v>
      </c>
    </row>
    <row r="8" customFormat="false" ht="15" hidden="false" customHeight="false" outlineLevel="0" collapsed="false">
      <c r="A8" s="12" t="n">
        <v>4</v>
      </c>
      <c r="B8" s="21" t="n">
        <f aca="false">MIN(1,Inputs!$B$10*A8^Inputs!$B$11)</f>
        <v>0.092376757592183</v>
      </c>
      <c r="C8" s="22" t="n">
        <f aca="false">C7*(1-B8)</f>
        <v>0.585742303358255</v>
      </c>
    </row>
    <row r="9" customFormat="false" ht="15" hidden="false" customHeight="false" outlineLevel="0" collapsed="false">
      <c r="A9" s="12" t="n">
        <v>5</v>
      </c>
      <c r="B9" s="21" t="n">
        <f aca="false">MIN(1,Inputs!$B$10*A9^Inputs!$B$11)</f>
        <v>0.0834301086365803</v>
      </c>
      <c r="C9" s="22" t="n">
        <f aca="false">C8*(1-B9)</f>
        <v>0.536873759356035</v>
      </c>
    </row>
    <row r="10" customFormat="false" ht="15" hidden="false" customHeight="false" outlineLevel="0" collapsed="false">
      <c r="A10" s="12" t="n">
        <v>6</v>
      </c>
      <c r="B10" s="21" t="n">
        <f aca="false">MIN(1,Inputs!$B$10*A10^Inputs!$B$11)</f>
        <v>0.0767672837742821</v>
      </c>
      <c r="C10" s="22" t="n">
        <f aca="false">C9*(1-B10)</f>
        <v>0.495659419120585</v>
      </c>
    </row>
    <row r="11" customFormat="false" ht="15" hidden="false" customHeight="false" outlineLevel="0" collapsed="false">
      <c r="A11" s="12" t="n">
        <v>7</v>
      </c>
      <c r="B11" s="21" t="n">
        <f aca="false">MIN(1,Inputs!$B$10*A11^Inputs!$B$11)</f>
        <v>0.0715508224626345</v>
      </c>
      <c r="C11" s="22" t="n">
        <f aca="false">C10*(1-B11)</f>
        <v>0.460194580021155</v>
      </c>
    </row>
    <row r="12" customFormat="false" ht="15" hidden="false" customHeight="false" outlineLevel="0" collapsed="false">
      <c r="A12" s="12" t="n">
        <v>8</v>
      </c>
      <c r="B12" s="21" t="n">
        <f aca="false">MIN(1,Inputs!$B$10*A12^Inputs!$B$11)</f>
        <v>0.0673195209015681</v>
      </c>
      <c r="C12" s="22" t="n">
        <f aca="false">C11*(1-B12)</f>
        <v>0.429214501372633</v>
      </c>
    </row>
    <row r="13" customFormat="false" ht="15" hidden="false" customHeight="false" outlineLevel="0" collapsed="false">
      <c r="A13" s="12" t="n">
        <v>9</v>
      </c>
      <c r="B13" s="21" t="n">
        <f aca="false">MIN(1,Inputs!$B$10*A13^Inputs!$B$11)</f>
        <v>0.0637954395855505</v>
      </c>
      <c r="C13" s="22" t="n">
        <f aca="false">C12*(1-B13)</f>
        <v>0.401832573581073</v>
      </c>
    </row>
    <row r="14" customFormat="false" ht="15" hidden="false" customHeight="false" outlineLevel="0" collapsed="false">
      <c r="A14" s="12" t="n">
        <v>10</v>
      </c>
      <c r="B14" s="21" t="n">
        <f aca="false">MIN(1,Inputs!$B$10*A14^Inputs!$B$11)</f>
        <v>0.060799654464768</v>
      </c>
      <c r="C14" s="22" t="n">
        <f aca="false">C13*(1-B14)</f>
        <v>0.377401291954655</v>
      </c>
    </row>
    <row r="15" customFormat="false" ht="15" hidden="false" customHeight="false" outlineLevel="0" collapsed="false">
      <c r="A15" s="12" t="n">
        <v>11</v>
      </c>
      <c r="B15" s="21" t="n">
        <f aca="false">MIN(1,Inputs!$B$10*A15^Inputs!$B$11)</f>
        <v>0.0582110111720556</v>
      </c>
      <c r="C15" s="22" t="n">
        <f aca="false">C14*(1-B15)</f>
        <v>0.355432381132335</v>
      </c>
    </row>
    <row r="16" customFormat="false" ht="15" hidden="false" customHeight="false" outlineLevel="0" collapsed="false">
      <c r="A16" s="12" t="n">
        <v>12</v>
      </c>
      <c r="B16" s="21" t="n">
        <f aca="false">MIN(1,Inputs!$B$10*A16^Inputs!$B$11)</f>
        <v>0.0559441238175338</v>
      </c>
      <c r="C16" s="22" t="n">
        <f aca="false">C15*(1-B16)</f>
        <v>0.335548027993506</v>
      </c>
    </row>
    <row r="17" customFormat="false" ht="15" hidden="false" customHeight="false" outlineLevel="0" collapsed="false">
      <c r="A17" s="12" t="n">
        <v>13</v>
      </c>
      <c r="B17" s="21" t="n">
        <f aca="false">MIN(1,Inputs!$B$10*A17^Inputs!$B$11)</f>
        <v>0.0539368278663097</v>
      </c>
      <c r="C17" s="22" t="n">
        <f aca="false">C16*(1-B17)</f>
        <v>0.317449631766741</v>
      </c>
    </row>
    <row r="18" customFormat="false" ht="15" hidden="false" customHeight="false" outlineLevel="0" collapsed="false">
      <c r="A18" s="12" t="n">
        <v>14</v>
      </c>
      <c r="B18" s="21" t="n">
        <f aca="false">MIN(1,Inputs!$B$10*A18^Inputs!$B$11)</f>
        <v>0.0521426299628566</v>
      </c>
      <c r="C18" s="22" t="n">
        <f aca="false">C17*(1-B18)</f>
        <v>0.300896973085683</v>
      </c>
    </row>
    <row r="19" customFormat="false" ht="15" hidden="false" customHeight="false" outlineLevel="0" collapsed="false">
      <c r="A19" s="12" t="n">
        <v>15</v>
      </c>
      <c r="B19" s="21" t="n">
        <f aca="false">MIN(1,Inputs!$B$10*A19^Inputs!$B$11)</f>
        <v>0.050525959660551</v>
      </c>
      <c r="C19" s="22" t="n">
        <f aca="false">C18*(1-B19)</f>
        <v>0.285693864761574</v>
      </c>
    </row>
    <row r="20" customFormat="false" ht="15" hidden="false" customHeight="false" outlineLevel="0" collapsed="false">
      <c r="A20" s="12" t="n">
        <v>16</v>
      </c>
      <c r="B20" s="21" t="n">
        <f aca="false">MIN(1,Inputs!$B$10*A20^Inputs!$B$11)</f>
        <v>0.0490590708371015</v>
      </c>
      <c r="C20" s="22" t="n">
        <f aca="false">C19*(1-B20)</f>
        <v>0.27167798921251</v>
      </c>
    </row>
    <row r="21" customFormat="false" ht="15" hidden="false" customHeight="false" outlineLevel="0" collapsed="false">
      <c r="A21" s="12" t="n">
        <v>17</v>
      </c>
      <c r="B21" s="21" t="n">
        <f aca="false">MIN(1,Inputs!$B$10*A21^Inputs!$B$11)</f>
        <v>0.0477199551031122</v>
      </c>
      <c r="C21" s="22" t="n">
        <f aca="false">C20*(1-B21)</f>
        <v>0.258713527764785</v>
      </c>
    </row>
    <row r="22" customFormat="false" ht="15" hidden="false" customHeight="false" outlineLevel="0" collapsed="false">
      <c r="A22" s="12" t="n">
        <v>18</v>
      </c>
      <c r="B22" s="21" t="n">
        <f aca="false">MIN(1,Inputs!$B$10*A22^Inputs!$B$11)</f>
        <v>0.0464908981495537</v>
      </c>
      <c r="C22" s="22" t="n">
        <f aca="false">C21*(1-B22)</f>
        <v>0.246685703495561</v>
      </c>
    </row>
    <row r="23" customFormat="false" ht="15" hidden="false" customHeight="false" outlineLevel="0" collapsed="false">
      <c r="A23" s="12" t="n">
        <v>19</v>
      </c>
      <c r="B23" s="21" t="n">
        <f aca="false">MIN(1,Inputs!$B$10*A23^Inputs!$B$11)</f>
        <v>0.04535745712086</v>
      </c>
      <c r="C23" s="22" t="n">
        <f aca="false">C22*(1-B23)</f>
        <v>0.235496667276932</v>
      </c>
    </row>
    <row r="24" customFormat="false" ht="15" hidden="false" customHeight="false" outlineLevel="0" collapsed="false">
      <c r="A24" s="12" t="n">
        <v>20</v>
      </c>
      <c r="B24" s="21" t="n">
        <f aca="false">MIN(1,Inputs!$B$10*A24^Inputs!$B$11)</f>
        <v>0.0443077210786993</v>
      </c>
      <c r="C24" s="22" t="n">
        <f aca="false">C23*(1-B24)</f>
        <v>0.225062346628262</v>
      </c>
    </row>
    <row r="25" customFormat="false" ht="15" hidden="false" customHeight="false" outlineLevel="0" collapsed="false">
      <c r="A25" s="12" t="n">
        <v>21</v>
      </c>
      <c r="B25" s="21" t="n">
        <f aca="false">MIN(1,Inputs!$B$10*A25^Inputs!$B$11)</f>
        <v>0.0433317662952345</v>
      </c>
      <c r="C25" s="22" t="n">
        <f aca="false">C24*(1-B25)</f>
        <v>0.21530999762231</v>
      </c>
    </row>
    <row r="26" customFormat="false" ht="15" hidden="false" customHeight="false" outlineLevel="0" collapsed="false">
      <c r="A26" s="12" t="n">
        <v>22</v>
      </c>
      <c r="B26" s="21" t="n">
        <f aca="false">MIN(1,Inputs!$B$10*A26^Inputs!$B$11)</f>
        <v>0.0424212484334935</v>
      </c>
      <c r="C26" s="22" t="n">
        <f aca="false">C25*(1-B26)</f>
        <v>0.206176278722959</v>
      </c>
    </row>
    <row r="27" customFormat="false" ht="15" hidden="false" customHeight="false" outlineLevel="0" collapsed="false">
      <c r="A27" s="12" t="n">
        <v>23</v>
      </c>
      <c r="B27" s="21" t="n">
        <f aca="false">MIN(1,Inputs!$B$10*A27^Inputs!$B$11)</f>
        <v>0.0415690926988452</v>
      </c>
      <c r="C27" s="22" t="n">
        <f aca="false">C26*(1-B27)</f>
        <v>0.197605717880421</v>
      </c>
    </row>
    <row r="28" customFormat="false" ht="15" hidden="false" customHeight="false" outlineLevel="0" collapsed="false">
      <c r="A28" s="12" t="n">
        <v>24</v>
      </c>
      <c r="B28" s="21" t="n">
        <f aca="false">MIN(1,Inputs!$B$10*A28^Inputs!$B$11)</f>
        <v>0.040769255284763</v>
      </c>
      <c r="C28" s="22" t="n">
        <f aca="false">C27*(1-B28)</f>
        <v>0.189549479922425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5" min="2" style="0" width="11"/>
  </cols>
  <sheetData>
    <row r="1" customFormat="false" ht="17.35" hidden="false" customHeight="false" outlineLevel="0" collapsed="false">
      <c r="A1" s="1" t="s">
        <v>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5" hidden="false" customHeight="false" outlineLevel="0" collapsed="false">
      <c r="A3" s="4" t="s">
        <v>40</v>
      </c>
      <c r="B3" s="23" t="s">
        <v>41</v>
      </c>
      <c r="C3" s="23" t="s">
        <v>42</v>
      </c>
      <c r="D3" s="23" t="s">
        <v>43</v>
      </c>
      <c r="E3" s="23" t="s">
        <v>44</v>
      </c>
      <c r="F3" s="23" t="s">
        <v>45</v>
      </c>
      <c r="G3" s="23" t="s">
        <v>46</v>
      </c>
      <c r="H3" s="23" t="s">
        <v>47</v>
      </c>
      <c r="I3" s="23" t="s">
        <v>48</v>
      </c>
      <c r="J3" s="23" t="s">
        <v>49</v>
      </c>
      <c r="K3" s="23" t="s">
        <v>50</v>
      </c>
      <c r="L3" s="23" t="s">
        <v>51</v>
      </c>
      <c r="M3" s="23" t="s">
        <v>52</v>
      </c>
      <c r="N3" s="23" t="s">
        <v>53</v>
      </c>
      <c r="O3" s="23" t="s">
        <v>54</v>
      </c>
      <c r="P3" s="23" t="s">
        <v>55</v>
      </c>
      <c r="Q3" s="23" t="s">
        <v>56</v>
      </c>
      <c r="R3" s="23" t="s">
        <v>57</v>
      </c>
      <c r="S3" s="23" t="s">
        <v>58</v>
      </c>
      <c r="T3" s="23" t="s">
        <v>59</v>
      </c>
      <c r="U3" s="23" t="s">
        <v>60</v>
      </c>
      <c r="V3" s="23" t="s">
        <v>61</v>
      </c>
      <c r="W3" s="23" t="s">
        <v>62</v>
      </c>
      <c r="X3" s="23" t="s">
        <v>63</v>
      </c>
      <c r="Y3" s="23" t="s">
        <v>64</v>
      </c>
    </row>
    <row r="4" customFormat="false" ht="15" hidden="false" customHeight="false" outlineLevel="0" collapsed="false">
      <c r="A4" s="5" t="s">
        <v>65</v>
      </c>
      <c r="B4" s="12" t="n">
        <v>1</v>
      </c>
      <c r="C4" s="12" t="n">
        <v>2</v>
      </c>
      <c r="D4" s="12" t="n">
        <v>3</v>
      </c>
      <c r="E4" s="12" t="n">
        <v>4</v>
      </c>
      <c r="F4" s="12" t="n">
        <v>5</v>
      </c>
      <c r="G4" s="12" t="n">
        <v>6</v>
      </c>
      <c r="H4" s="12" t="n">
        <v>7</v>
      </c>
      <c r="I4" s="12" t="n">
        <v>8</v>
      </c>
      <c r="J4" s="12" t="n">
        <v>9</v>
      </c>
      <c r="K4" s="12" t="n">
        <v>10</v>
      </c>
      <c r="L4" s="12" t="n">
        <v>11</v>
      </c>
      <c r="M4" s="12" t="n">
        <v>12</v>
      </c>
      <c r="N4" s="12" t="n">
        <v>13</v>
      </c>
      <c r="O4" s="12" t="n">
        <v>14</v>
      </c>
      <c r="P4" s="12" t="n">
        <v>15</v>
      </c>
      <c r="Q4" s="12" t="n">
        <v>16</v>
      </c>
      <c r="R4" s="12" t="n">
        <v>17</v>
      </c>
      <c r="S4" s="12" t="n">
        <v>18</v>
      </c>
      <c r="T4" s="12" t="n">
        <v>19</v>
      </c>
      <c r="U4" s="12" t="n">
        <v>20</v>
      </c>
      <c r="V4" s="12" t="n">
        <v>21</v>
      </c>
      <c r="W4" s="12" t="n">
        <v>22</v>
      </c>
      <c r="X4" s="12" t="n">
        <v>23</v>
      </c>
      <c r="Y4" s="12" t="n">
        <v>24</v>
      </c>
    </row>
    <row r="5" customFormat="false" ht="15" hidden="false" customHeight="false" outlineLevel="0" collapsed="false">
      <c r="A5" s="12" t="s">
        <v>66</v>
      </c>
      <c r="B5" s="24" t="n">
        <f aca="false">Inputs!$B$4*(1+Inputs!$B$5)^(B$4-1)*IF(MOD(B$4,12)=0,Inputs!$B$6,1)</f>
        <v>8181.63995709121</v>
      </c>
      <c r="C5" s="24" t="n">
        <f aca="false">Inputs!$B$4*(1+Inputs!$B$5)^(C$4-1)*IF(MOD(C$4,12)=0,Inputs!$B$6,1)</f>
        <v>8284.72672438383</v>
      </c>
      <c r="D5" s="24" t="n">
        <f aca="false">Inputs!$B$4*(1+Inputs!$B$5)^(D$4-1)*IF(MOD(D$4,12)=0,Inputs!$B$6,1)</f>
        <v>8389.11236105307</v>
      </c>
      <c r="E5" s="24" t="n">
        <f aca="false">Inputs!$B$4*(1+Inputs!$B$5)^(E$4-1)*IF(MOD(E$4,12)=0,Inputs!$B$6,1)</f>
        <v>8494.81323255206</v>
      </c>
      <c r="F5" s="24" t="n">
        <f aca="false">Inputs!$B$4*(1+Inputs!$B$5)^(F$4-1)*IF(MOD(F$4,12)=0,Inputs!$B$6,1)</f>
        <v>8601.84591053483</v>
      </c>
      <c r="G5" s="24" t="n">
        <f aca="false">Inputs!$B$4*(1+Inputs!$B$5)^(G$4-1)*IF(MOD(G$4,12)=0,Inputs!$B$6,1)</f>
        <v>8710.22717545442</v>
      </c>
      <c r="H5" s="24" t="n">
        <f aca="false">Inputs!$B$4*(1+Inputs!$B$5)^(H$4-1)*IF(MOD(H$4,12)=0,Inputs!$B$6,1)</f>
        <v>8819.97401919369</v>
      </c>
      <c r="I5" s="24" t="n">
        <f aca="false">Inputs!$B$4*(1+Inputs!$B$5)^(I$4-1)*IF(MOD(I$4,12)=0,Inputs!$B$6,1)</f>
        <v>8931.10364772928</v>
      </c>
      <c r="J5" s="24" t="n">
        <f aca="false">Inputs!$B$4*(1+Inputs!$B$5)^(J$4-1)*IF(MOD(J$4,12)=0,Inputs!$B$6,1)</f>
        <v>9043.63348382916</v>
      </c>
      <c r="K5" s="24" t="n">
        <f aca="false">Inputs!$B$4*(1+Inputs!$B$5)^(K$4-1)*IF(MOD(K$4,12)=0,Inputs!$B$6,1)</f>
        <v>9157.58116978412</v>
      </c>
      <c r="L5" s="24" t="n">
        <f aca="false">Inputs!$B$4*(1+Inputs!$B$5)^(L$4-1)*IF(MOD(L$4,12)=0,Inputs!$B$6,1)</f>
        <v>9272.96457017374</v>
      </c>
      <c r="M5" s="24" t="n">
        <f aca="false">Inputs!$B$4*(1+Inputs!$B$5)^(M$4-1)*IF(MOD(M$4,12)=0,Inputs!$B$6,1)</f>
        <v>10275.4294404904</v>
      </c>
      <c r="N5" s="24" t="n">
        <f aca="false">Inputs!$B$4*(1+Inputs!$B$5)^(N$4-1)*IF(MOD(N$4,12)=0,Inputs!$B$6,1)</f>
        <v>9508.11110085914</v>
      </c>
      <c r="O5" s="24" t="n">
        <f aca="false">Inputs!$B$4*(1+Inputs!$B$5)^(O$4-1)*IF(MOD(O$4,12)=0,Inputs!$B$6,1)</f>
        <v>9627.91109714193</v>
      </c>
      <c r="P5" s="24" t="n">
        <f aca="false">Inputs!$B$4*(1+Inputs!$B$5)^(P$4-1)*IF(MOD(P$4,12)=0,Inputs!$B$6,1)</f>
        <v>9749.22054561317</v>
      </c>
      <c r="Q5" s="24" t="n">
        <f aca="false">Inputs!$B$4*(1+Inputs!$B$5)^(Q$4-1)*IF(MOD(Q$4,12)=0,Inputs!$B$6,1)</f>
        <v>9872.05846502063</v>
      </c>
      <c r="R5" s="24" t="n">
        <f aca="false">Inputs!$B$4*(1+Inputs!$B$5)^(R$4-1)*IF(MOD(R$4,12)=0,Inputs!$B$6,1)</f>
        <v>9996.44411374386</v>
      </c>
      <c r="S5" s="24" t="n">
        <f aca="false">Inputs!$B$4*(1+Inputs!$B$5)^(S$4-1)*IF(MOD(S$4,12)=0,Inputs!$B$6,1)</f>
        <v>10122.3969928135</v>
      </c>
      <c r="T5" s="24" t="n">
        <f aca="false">Inputs!$B$4*(1+Inputs!$B$5)^(T$4-1)*IF(MOD(T$4,12)=0,Inputs!$B$6,1)</f>
        <v>10249.9368489688</v>
      </c>
      <c r="U5" s="24" t="n">
        <f aca="false">Inputs!$B$4*(1+Inputs!$B$5)^(U$4-1)*IF(MOD(U$4,12)=0,Inputs!$B$6,1)</f>
        <v>10379.0836777532</v>
      </c>
      <c r="V5" s="24" t="n">
        <f aca="false">Inputs!$B$4*(1+Inputs!$B$5)^(V$4-1)*IF(MOD(V$4,12)=0,Inputs!$B$6,1)</f>
        <v>10509.8577266493</v>
      </c>
      <c r="W5" s="24" t="n">
        <f aca="false">Inputs!$B$4*(1+Inputs!$B$5)^(W$4-1)*IF(MOD(W$4,12)=0,Inputs!$B$6,1)</f>
        <v>10642.2794982535</v>
      </c>
      <c r="X5" s="24" t="n">
        <f aca="false">Inputs!$B$4*(1+Inputs!$B$5)^(X$4-1)*IF(MOD(X$4,12)=0,Inputs!$B$6,1)</f>
        <v>10776.3697534899</v>
      </c>
      <c r="Y5" s="24" t="n">
        <f aca="false">Inputs!$B$4*(1+Inputs!$B$5)^(Y$4-1)*IF(MOD(Y$4,12)=0,Inputs!$B$6,1)</f>
        <v>11941.3620303033</v>
      </c>
    </row>
    <row r="6" customFormat="false" ht="15" hidden="false" customHeight="false" outlineLevel="0" collapsed="false">
      <c r="A6" s="12" t="s">
        <v>67</v>
      </c>
      <c r="B6" s="24" t="n">
        <f aca="false">Inputs!$B$7*Inputs!$B$8</f>
        <v>3517.77436908179</v>
      </c>
      <c r="C6" s="24" t="n">
        <f aca="false">B5*Inputs!$B$8</f>
        <v>3003.04291925198</v>
      </c>
      <c r="D6" s="24" t="n">
        <f aca="false">C5*Inputs!$B$8</f>
        <v>3040.88056405305</v>
      </c>
      <c r="E6" s="24" t="n">
        <f aca="false">D5*Inputs!$B$8</f>
        <v>3079.19495440941</v>
      </c>
      <c r="F6" s="24" t="n">
        <f aca="false">E5*Inputs!$B$8</f>
        <v>3117.99209720456</v>
      </c>
      <c r="G6" s="24" t="n">
        <f aca="false">F5*Inputs!$B$8</f>
        <v>3157.27807500735</v>
      </c>
      <c r="H6" s="24" t="n">
        <f aca="false">G5*Inputs!$B$8</f>
        <v>3197.05904702559</v>
      </c>
      <c r="I6" s="24" t="n">
        <f aca="false">H5*Inputs!$B$8</f>
        <v>3237.34125007167</v>
      </c>
      <c r="J6" s="24" t="n">
        <f aca="false">I5*Inputs!$B$8</f>
        <v>3278.13099954038</v>
      </c>
      <c r="K6" s="24" t="n">
        <f aca="false">J5*Inputs!$B$8</f>
        <v>3319.43469039901</v>
      </c>
      <c r="L6" s="24" t="n">
        <f aca="false">K5*Inputs!$B$8</f>
        <v>3361.25879818997</v>
      </c>
      <c r="M6" s="24" t="n">
        <f aca="false">L5*Inputs!$B$8</f>
        <v>3403.60988004599</v>
      </c>
      <c r="N6" s="24" t="n">
        <f aca="false">M5*Inputs!$B$8</f>
        <v>3771.56117665541</v>
      </c>
      <c r="O6" s="24" t="n">
        <f aca="false">N5*Inputs!$B$8</f>
        <v>3489.9196086169</v>
      </c>
      <c r="P6" s="24" t="n">
        <f aca="false">O5*Inputs!$B$8</f>
        <v>3533.89178686603</v>
      </c>
      <c r="Q6" s="24" t="n">
        <f aca="false">P5*Inputs!$B$8</f>
        <v>3578.41800437016</v>
      </c>
      <c r="R6" s="24" t="n">
        <f aca="false">Q5*Inputs!$B$8</f>
        <v>3623.50524189551</v>
      </c>
      <c r="S6" s="24" t="n">
        <f aca="false">R5*Inputs!$B$8</f>
        <v>3669.16056816431</v>
      </c>
      <c r="T6" s="24" t="n">
        <f aca="false">S5*Inputs!$B$8</f>
        <v>3715.39114096307</v>
      </c>
      <c r="U6" s="24" t="n">
        <f aca="false">T5*Inputs!$B$8</f>
        <v>3762.20420826476</v>
      </c>
      <c r="V6" s="24" t="n">
        <f aca="false">U5*Inputs!$B$8</f>
        <v>3809.60710936511</v>
      </c>
      <c r="W6" s="24" t="n">
        <f aca="false">V5*Inputs!$B$8</f>
        <v>3857.60727603329</v>
      </c>
      <c r="X6" s="24" t="n">
        <f aca="false">W5*Inputs!$B$8</f>
        <v>3906.21223367703</v>
      </c>
      <c r="Y6" s="24" t="n">
        <f aca="false">X5*Inputs!$B$8</f>
        <v>3955.42960252246</v>
      </c>
    </row>
    <row r="7" customFormat="false" ht="15" hidden="false" customHeight="false" outlineLevel="0" collapsed="false">
      <c r="A7" s="12" t="s">
        <v>68</v>
      </c>
      <c r="B7" s="24" t="n">
        <f aca="false">B6*(1-Inputs!$B$9)</f>
        <v>2629.7586014825</v>
      </c>
      <c r="C7" s="24" t="n">
        <f aca="false">C6*(1-Inputs!$B$9)</f>
        <v>2244.9643208883</v>
      </c>
      <c r="D7" s="24" t="n">
        <f aca="false">D6*(1-Inputs!$B$9)</f>
        <v>2273.25035104135</v>
      </c>
      <c r="E7" s="24" t="n">
        <f aca="false">E6*(1-Inputs!$B$9)</f>
        <v>2301.89277861879</v>
      </c>
      <c r="F7" s="24" t="n">
        <f aca="false">F6*(1-Inputs!$B$9)</f>
        <v>2330.89609414557</v>
      </c>
      <c r="G7" s="24" t="n">
        <f aca="false">G6*(1-Inputs!$B$9)</f>
        <v>2360.26484472621</v>
      </c>
      <c r="H7" s="24" t="n">
        <f aca="false">H6*(1-Inputs!$B$9)</f>
        <v>2390.00363475771</v>
      </c>
      <c r="I7" s="24" t="n">
        <f aca="false">I6*(1-Inputs!$B$9)</f>
        <v>2420.11712665137</v>
      </c>
      <c r="J7" s="24" t="n">
        <f aca="false">J6*(1-Inputs!$B$9)</f>
        <v>2450.61004156383</v>
      </c>
      <c r="K7" s="24" t="n">
        <f aca="false">K6*(1-Inputs!$B$9)</f>
        <v>2481.48716013719</v>
      </c>
      <c r="L7" s="24" t="n">
        <f aca="false">L6*(1-Inputs!$B$9)</f>
        <v>2512.75332324853</v>
      </c>
      <c r="M7" s="24" t="n">
        <f aca="false">M6*(1-Inputs!$B$9)</f>
        <v>2544.41343276887</v>
      </c>
      <c r="N7" s="24" t="n">
        <f aca="false">N6*(1-Inputs!$B$9)</f>
        <v>2819.48027494324</v>
      </c>
      <c r="O7" s="24" t="n">
        <f aca="false">O6*(1-Inputs!$B$9)</f>
        <v>2608.93540811097</v>
      </c>
      <c r="P7" s="24" t="n">
        <f aca="false">P6*(1-Inputs!$B$9)</f>
        <v>2641.80738960953</v>
      </c>
      <c r="Q7" s="24" t="n">
        <f aca="false">Q6*(1-Inputs!$B$9)</f>
        <v>2675.09355045661</v>
      </c>
      <c r="R7" s="24" t="n">
        <f aca="false">R6*(1-Inputs!$B$9)</f>
        <v>2708.799109216</v>
      </c>
      <c r="S7" s="24" t="n">
        <f aca="false">S6*(1-Inputs!$B$9)</f>
        <v>2742.92935020419</v>
      </c>
      <c r="T7" s="24" t="n">
        <f aca="false">T6*(1-Inputs!$B$9)</f>
        <v>2777.48962431886</v>
      </c>
      <c r="U7" s="24" t="n">
        <f aca="false">U6*(1-Inputs!$B$9)</f>
        <v>2812.48534987772</v>
      </c>
      <c r="V7" s="24" t="n">
        <f aca="false">V6*(1-Inputs!$B$9)</f>
        <v>2847.92201346807</v>
      </c>
      <c r="W7" s="24" t="n">
        <f aca="false">W6*(1-Inputs!$B$9)</f>
        <v>2883.80517080689</v>
      </c>
      <c r="X7" s="24" t="n">
        <f aca="false">X6*(1-Inputs!$B$9)</f>
        <v>2920.14044761194</v>
      </c>
      <c r="Y7" s="24" t="n">
        <f aca="false">Y6*(1-Inputs!$B$9)</f>
        <v>2956.93354048372</v>
      </c>
    </row>
    <row r="8" customFormat="false" ht="15" hidden="false" customHeight="false" outlineLevel="0" collapsed="false">
      <c r="A8" s="12" t="s">
        <v>69</v>
      </c>
      <c r="B8" s="24" t="n">
        <f aca="false">B6*Inputs!$B$9</f>
        <v>888.015767599297</v>
      </c>
      <c r="C8" s="24" t="n">
        <f aca="false">C6*Inputs!$B$9</f>
        <v>758.078598363672</v>
      </c>
      <c r="D8" s="24" t="n">
        <f aca="false">D6*Inputs!$B$9</f>
        <v>767.630213011698</v>
      </c>
      <c r="E8" s="24" t="n">
        <f aca="false">E6*Inputs!$B$9</f>
        <v>777.302175790619</v>
      </c>
      <c r="F8" s="24" t="n">
        <f aca="false">F6*Inputs!$B$9</f>
        <v>787.096003058992</v>
      </c>
      <c r="G8" s="24" t="n">
        <f aca="false">G6*Inputs!$B$9</f>
        <v>797.013230281141</v>
      </c>
      <c r="H8" s="24" t="n">
        <f aca="false">H6*Inputs!$B$9</f>
        <v>807.055412267885</v>
      </c>
      <c r="I8" s="24" t="n">
        <f aca="false">I6*Inputs!$B$9</f>
        <v>817.224123420299</v>
      </c>
      <c r="J8" s="24" t="n">
        <f aca="false">J6*Inputs!$B$9</f>
        <v>827.520957976545</v>
      </c>
      <c r="K8" s="24" t="n">
        <f aca="false">K6*Inputs!$B$9</f>
        <v>837.947530261818</v>
      </c>
      <c r="L8" s="24" t="n">
        <f aca="false">L6*Inputs!$B$9</f>
        <v>848.505474941436</v>
      </c>
      <c r="M8" s="24" t="n">
        <f aca="false">M6*Inputs!$B$9</f>
        <v>859.196447277121</v>
      </c>
      <c r="N8" s="24" t="n">
        <f aca="false">N6*Inputs!$B$9</f>
        <v>952.080901712173</v>
      </c>
      <c r="O8" s="24" t="n">
        <f aca="false">O6*Inputs!$B$9</f>
        <v>880.98420050593</v>
      </c>
      <c r="P8" s="24" t="n">
        <f aca="false">P6*Inputs!$B$9</f>
        <v>892.084397256499</v>
      </c>
      <c r="Q8" s="24" t="n">
        <f aca="false">Q6*Inputs!$B$9</f>
        <v>903.324453913556</v>
      </c>
      <c r="R8" s="24" t="n">
        <f aca="false">R6*Inputs!$B$9</f>
        <v>914.706132679511</v>
      </c>
      <c r="S8" s="24" t="n">
        <f aca="false">S6*Inputs!$B$9</f>
        <v>926.231217960113</v>
      </c>
      <c r="T8" s="24" t="n">
        <f aca="false">T6*Inputs!$B$9</f>
        <v>937.901516644212</v>
      </c>
      <c r="U8" s="24" t="n">
        <f aca="false">U6*Inputs!$B$9</f>
        <v>949.718858387036</v>
      </c>
      <c r="V8" s="24" t="n">
        <f aca="false">V6*Inputs!$B$9</f>
        <v>961.685095897047</v>
      </c>
      <c r="W8" s="24" t="n">
        <f aca="false">W6*Inputs!$B$9</f>
        <v>973.802105226405</v>
      </c>
      <c r="X8" s="24" t="n">
        <f aca="false">X6*Inputs!$B$9</f>
        <v>986.071786065088</v>
      </c>
      <c r="Y8" s="24" t="n">
        <f aca="false">Y6*Inputs!$B$9</f>
        <v>998.496062038734</v>
      </c>
    </row>
    <row r="9" customFormat="false" ht="15" hidden="false" customHeight="false" outlineLevel="0" collapsed="false">
      <c r="A9" s="5" t="s">
        <v>70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customFormat="false" ht="15" hidden="false" customHeight="false" outlineLevel="0" collapsed="false">
      <c r="A10" s="12" t="s">
        <v>71</v>
      </c>
      <c r="B10" s="13" t="n">
        <v>21514.6727523771</v>
      </c>
      <c r="C10" s="13" t="n">
        <v>20105.4064763897</v>
      </c>
      <c r="D10" s="13" t="n">
        <v>18902.0013007705</v>
      </c>
      <c r="E10" s="13" t="n">
        <v>17844.5544675119</v>
      </c>
      <c r="F10" s="13" t="n">
        <v>16899.527325864</v>
      </c>
      <c r="G10" s="13" t="n">
        <v>16045.2111777581</v>
      </c>
      <c r="H10" s="13" t="n">
        <v>15266.3321102673</v>
      </c>
      <c r="I10" s="13" t="n">
        <v>14551.541390758</v>
      </c>
      <c r="J10" s="13" t="n">
        <v>13892.0752051163</v>
      </c>
      <c r="K10" s="13" t="n">
        <v>13280.9682206443</v>
      </c>
      <c r="L10" s="13" t="n">
        <v>12712.559359712</v>
      </c>
      <c r="M10" s="13" t="n">
        <v>12182.1645312782</v>
      </c>
      <c r="N10" s="13" t="n">
        <v>11685.8507906223</v>
      </c>
      <c r="O10" s="13" t="n">
        <v>11220.2751982044</v>
      </c>
      <c r="P10" s="13" t="n">
        <v>10782.5666232809</v>
      </c>
      <c r="Q10" s="13" t="n">
        <v>10370.2370108571</v>
      </c>
      <c r="R10" s="13" t="n">
        <v>9981.11343541683</v>
      </c>
      <c r="S10" s="13" t="n">
        <v>9613.28517511373</v>
      </c>
      <c r="T10" s="13" t="n">
        <v>9265.0618670014</v>
      </c>
      <c r="U10" s="13" t="n">
        <v>8934.93998664144</v>
      </c>
      <c r="V10" s="13" t="n">
        <v>8621.57568205099</v>
      </c>
      <c r="W10" s="13" t="n">
        <v>8323.76252764852</v>
      </c>
      <c r="X10" s="13" t="n">
        <v>8040.41313641222</v>
      </c>
      <c r="Y10" s="13" t="n">
        <v>7770.54383246842</v>
      </c>
    </row>
    <row r="11" customFormat="false" ht="15" hidden="false" customHeight="false" outlineLevel="0" collapsed="false">
      <c r="A11" s="12" t="s">
        <v>72</v>
      </c>
      <c r="B11" s="8" t="n">
        <f aca="false">'Cohort Waterfall'!B30</f>
        <v>2629.7586014825</v>
      </c>
      <c r="C11" s="8" t="n">
        <f aca="false">'Cohort Waterfall'!C30</f>
        <v>4417.29571260229</v>
      </c>
      <c r="D11" s="8" t="n">
        <f aca="false">'Cohort Waterfall'!D30</f>
        <v>6024.68488439635</v>
      </c>
      <c r="E11" s="8" t="n">
        <f aca="false">'Cohort Waterfall'!E30</f>
        <v>7496.26032352907</v>
      </c>
      <c r="F11" s="8" t="n">
        <f aca="false">'Cohort Waterfall'!F30</f>
        <v>8861.35856600626</v>
      </c>
      <c r="G11" s="8" t="n">
        <f aca="false">'Cohort Waterfall'!G30</f>
        <v>10140.0595387326</v>
      </c>
      <c r="H11" s="8" t="n">
        <f aca="false">'Cohort Waterfall'!H30</f>
        <v>11346.9116452473</v>
      </c>
      <c r="I11" s="8" t="n">
        <f aca="false">'Cohort Waterfall'!I30</f>
        <v>12492.930495664</v>
      </c>
      <c r="J11" s="8" t="n">
        <f aca="false">'Cohort Waterfall'!J30</f>
        <v>13586.7405612959</v>
      </c>
      <c r="K11" s="8" t="n">
        <f aca="false">'Cohort Waterfall'!K30</f>
        <v>14635.2719819312</v>
      </c>
      <c r="L11" s="8" t="n">
        <f aca="false">'Cohort Waterfall'!L30</f>
        <v>15644.2099740129</v>
      </c>
      <c r="M11" s="8" t="n">
        <f aca="false">'Cohort Waterfall'!M30</f>
        <v>16618.2979508115</v>
      </c>
      <c r="N11" s="8" t="n">
        <f aca="false">'Cohort Waterfall'!N30</f>
        <v>17804.5574210659</v>
      </c>
      <c r="O11" s="8" t="n">
        <f aca="false">'Cohort Waterfall'!O30</f>
        <v>18678.1402207812</v>
      </c>
      <c r="P11" s="8" t="n">
        <f aca="false">'Cohort Waterfall'!P30</f>
        <v>19544.120588252</v>
      </c>
      <c r="Q11" s="8" t="n">
        <f aca="false">'Cohort Waterfall'!Q30</f>
        <v>20395.2502463073</v>
      </c>
      <c r="R11" s="8" t="n">
        <f aca="false">'Cohort Waterfall'!R30</f>
        <v>21230.8103874127</v>
      </c>
      <c r="S11" s="8" t="n">
        <f aca="false">'Cohort Waterfall'!S30</f>
        <v>22051.4569041277</v>
      </c>
      <c r="T11" s="8" t="n">
        <f aca="false">'Cohort Waterfall'!T30</f>
        <v>22858.2409812009</v>
      </c>
      <c r="U11" s="8" t="n">
        <f aca="false">'Cohort Waterfall'!U30</f>
        <v>23652.3160241007</v>
      </c>
      <c r="V11" s="8" t="n">
        <f aca="false">'Cohort Waterfall'!V30</f>
        <v>24434.8311222177</v>
      </c>
      <c r="W11" s="8" t="n">
        <f aca="false">'Cohort Waterfall'!W30</f>
        <v>25206.8894417805</v>
      </c>
      <c r="X11" s="8" t="n">
        <f aca="false">'Cohort Waterfall'!X30</f>
        <v>25969.532696497</v>
      </c>
      <c r="Y11" s="8" t="n">
        <f aca="false">'Cohort Waterfall'!Y30</f>
        <v>26723.7369960982</v>
      </c>
    </row>
    <row r="12" customFormat="false" ht="15" hidden="false" customHeight="false" outlineLevel="0" collapsed="false">
      <c r="A12" s="12" t="s">
        <v>73</v>
      </c>
      <c r="B12" s="24" t="n">
        <f aca="false">B10+B11</f>
        <v>24144.4313538596</v>
      </c>
      <c r="C12" s="24" t="n">
        <f aca="false">C10+C11</f>
        <v>24522.702188992</v>
      </c>
      <c r="D12" s="24" t="n">
        <f aca="false">D10+D11</f>
        <v>24926.6861851668</v>
      </c>
      <c r="E12" s="24" t="n">
        <f aca="false">E10+E11</f>
        <v>25340.8147910409</v>
      </c>
      <c r="F12" s="24" t="n">
        <f aca="false">F10+F11</f>
        <v>25760.8858918702</v>
      </c>
      <c r="G12" s="24" t="n">
        <f aca="false">G10+G11</f>
        <v>26185.2707164908</v>
      </c>
      <c r="H12" s="24" t="n">
        <f aca="false">H10+H11</f>
        <v>26613.2437555146</v>
      </c>
      <c r="I12" s="24" t="n">
        <f aca="false">I10+I11</f>
        <v>27044.471886422</v>
      </c>
      <c r="J12" s="24" t="n">
        <f aca="false">J10+J11</f>
        <v>27478.8157664122</v>
      </c>
      <c r="K12" s="24" t="n">
        <f aca="false">K10+K11</f>
        <v>27916.2402025755</v>
      </c>
      <c r="L12" s="24" t="n">
        <f aca="false">L10+L11</f>
        <v>28356.7693337248</v>
      </c>
      <c r="M12" s="24" t="n">
        <f aca="false">M10+M11</f>
        <v>28800.4624820897</v>
      </c>
      <c r="N12" s="24" t="n">
        <f aca="false">N10+N11</f>
        <v>29490.4082116881</v>
      </c>
      <c r="O12" s="24" t="n">
        <f aca="false">O10+O11</f>
        <v>29898.4154189856</v>
      </c>
      <c r="P12" s="24" t="n">
        <f aca="false">P10+P11</f>
        <v>30326.6872115329</v>
      </c>
      <c r="Q12" s="24" t="n">
        <f aca="false">Q10+Q11</f>
        <v>30765.4872571643</v>
      </c>
      <c r="R12" s="24" t="n">
        <f aca="false">R10+R11</f>
        <v>31211.9238228296</v>
      </c>
      <c r="S12" s="24" t="n">
        <f aca="false">S10+S11</f>
        <v>31664.7420792414</v>
      </c>
      <c r="T12" s="24" t="n">
        <f aca="false">T10+T11</f>
        <v>32123.3028482023</v>
      </c>
      <c r="U12" s="24" t="n">
        <f aca="false">U10+U11</f>
        <v>32587.2560107421</v>
      </c>
      <c r="V12" s="24" t="n">
        <f aca="false">V10+V11</f>
        <v>33056.4068042687</v>
      </c>
      <c r="W12" s="24" t="n">
        <f aca="false">W10+W11</f>
        <v>33530.651969429</v>
      </c>
      <c r="X12" s="24" t="n">
        <f aca="false">X10+X11</f>
        <v>34009.9458329092</v>
      </c>
      <c r="Y12" s="24" t="n">
        <f aca="false">Y10+Y11</f>
        <v>34494.2808285666</v>
      </c>
    </row>
    <row r="13" customFormat="false" ht="15" hidden="false" customHeight="false" outlineLevel="0" collapsed="false">
      <c r="A13" s="12" t="s">
        <v>74</v>
      </c>
      <c r="B13" s="13" t="n">
        <v>17236.0558833738</v>
      </c>
      <c r="C13" s="13" t="n">
        <v>16830.7944000926</v>
      </c>
      <c r="D13" s="13" t="n">
        <v>16410.5786185352</v>
      </c>
      <c r="E13" s="13" t="n">
        <v>16006.2143931505</v>
      </c>
      <c r="F13" s="13" t="n">
        <v>15581.2132361449</v>
      </c>
      <c r="G13" s="13" t="n">
        <v>15144.2486405183</v>
      </c>
      <c r="H13" s="13" t="n">
        <v>14695.918778202</v>
      </c>
      <c r="I13" s="13" t="n">
        <v>14201.5296771954</v>
      </c>
      <c r="J13" s="13" t="n">
        <v>13752.003471017</v>
      </c>
      <c r="K13" s="13" t="n">
        <v>13300.38366308</v>
      </c>
      <c r="L13" s="13" t="n">
        <v>12835.9031586255</v>
      </c>
      <c r="M13" s="13" t="n">
        <v>12369.0299664468</v>
      </c>
      <c r="N13" s="13" t="n">
        <v>12080.9934677171</v>
      </c>
      <c r="O13" s="13" t="n">
        <v>11796.9400064516</v>
      </c>
      <c r="P13" s="13" t="n">
        <v>11502.4048676486</v>
      </c>
      <c r="Q13" s="13" t="n">
        <v>11218.9803070353</v>
      </c>
      <c r="R13" s="13" t="n">
        <v>10921.0910314203</v>
      </c>
      <c r="S13" s="13" t="n">
        <v>10614.8164137753</v>
      </c>
      <c r="T13" s="13" t="n">
        <v>10300.5757212019</v>
      </c>
      <c r="U13" s="13" t="n">
        <v>9954.05146181301</v>
      </c>
      <c r="V13" s="13" t="n">
        <v>9638.97223503657</v>
      </c>
      <c r="W13" s="13" t="n">
        <v>9322.42557340488</v>
      </c>
      <c r="X13" s="13" t="n">
        <v>8996.86466909096</v>
      </c>
      <c r="Y13" s="13" t="n">
        <v>8669.62669637104</v>
      </c>
    </row>
    <row r="14" customFormat="false" ht="15" hidden="false" customHeight="false" outlineLevel="0" collapsed="false">
      <c r="A14" s="12" t="s">
        <v>75</v>
      </c>
      <c r="B14" s="8" t="n">
        <f aca="false">'Cohort Waterfall'!B59</f>
        <v>888.015767599297</v>
      </c>
      <c r="C14" s="8" t="n">
        <f aca="false">'Cohort Waterfall'!C59</f>
        <v>1646.09436596297</v>
      </c>
      <c r="D14" s="8" t="n">
        <f aca="false">'Cohort Waterfall'!D59</f>
        <v>2413.72457897467</v>
      </c>
      <c r="E14" s="8" t="n">
        <f aca="false">'Cohort Waterfall'!E59</f>
        <v>3191.02675476529</v>
      </c>
      <c r="F14" s="8" t="n">
        <f aca="false">'Cohort Waterfall'!F59</f>
        <v>3978.12275782428</v>
      </c>
      <c r="G14" s="8" t="n">
        <f aca="false">'Cohort Waterfall'!G59</f>
        <v>4775.13598810542</v>
      </c>
      <c r="H14" s="8" t="n">
        <f aca="false">'Cohort Waterfall'!H59</f>
        <v>5582.19140037331</v>
      </c>
      <c r="I14" s="8" t="n">
        <f aca="false">'Cohort Waterfall'!I59</f>
        <v>6399.41552379361</v>
      </c>
      <c r="J14" s="8" t="n">
        <f aca="false">'Cohort Waterfall'!J59</f>
        <v>7226.93648177015</v>
      </c>
      <c r="K14" s="8" t="n">
        <f aca="false">'Cohort Waterfall'!K59</f>
        <v>8064.88401203197</v>
      </c>
      <c r="L14" s="8" t="n">
        <f aca="false">'Cohort Waterfall'!L59</f>
        <v>8913.3894869734</v>
      </c>
      <c r="M14" s="8" t="n">
        <f aca="false">'Cohort Waterfall'!M59</f>
        <v>9772.58593425053</v>
      </c>
      <c r="N14" s="8" t="n">
        <f aca="false">'Cohort Waterfall'!N59</f>
        <v>10459.0737827122</v>
      </c>
      <c r="O14" s="8" t="n">
        <f aca="false">'Cohort Waterfall'!O59</f>
        <v>11113.3273136855</v>
      </c>
      <c r="P14" s="8" t="n">
        <f aca="false">'Cohort Waterfall'!P59</f>
        <v>11775.8242875202</v>
      </c>
      <c r="Q14" s="8" t="n">
        <f aca="false">'Cohort Waterfall'!Q59</f>
        <v>12446.6685696856</v>
      </c>
      <c r="R14" s="8" t="n">
        <f aca="false">'Cohort Waterfall'!R59</f>
        <v>13125.9653343323</v>
      </c>
      <c r="S14" s="8" t="n">
        <f aca="false">'Cohort Waterfall'!S59</f>
        <v>13813.8210807806</v>
      </c>
      <c r="T14" s="8" t="n">
        <f aca="false">'Cohort Waterfall'!T59</f>
        <v>14510.3436502176</v>
      </c>
      <c r="U14" s="8" t="n">
        <f aca="false">'Cohort Waterfall'!U59</f>
        <v>15215.6422426042</v>
      </c>
      <c r="V14" s="8" t="n">
        <f aca="false">'Cohort Waterfall'!V59</f>
        <v>15929.8274337958</v>
      </c>
      <c r="W14" s="8" t="n">
        <f aca="false">'Cohort Waterfall'!W59</f>
        <v>16653.0111928777</v>
      </c>
      <c r="X14" s="8" t="n">
        <f aca="false">'Cohort Waterfall'!X59</f>
        <v>17385.3068997199</v>
      </c>
      <c r="Y14" s="8" t="n">
        <f aca="false">'Cohort Waterfall'!Y59</f>
        <v>18126.8293627523</v>
      </c>
    </row>
    <row r="15" customFormat="false" ht="15" hidden="false" customHeight="false" outlineLevel="0" collapsed="false">
      <c r="A15" s="12" t="s">
        <v>76</v>
      </c>
      <c r="B15" s="24" t="n">
        <f aca="false">B13+B14</f>
        <v>18124.0716509731</v>
      </c>
      <c r="C15" s="24" t="n">
        <f aca="false">C13+C14</f>
        <v>18476.8887660555</v>
      </c>
      <c r="D15" s="24" t="n">
        <f aca="false">D13+D14</f>
        <v>18824.3031975099</v>
      </c>
      <c r="E15" s="24" t="n">
        <f aca="false">E13+E14</f>
        <v>19197.2411479158</v>
      </c>
      <c r="F15" s="24" t="n">
        <f aca="false">F13+F14</f>
        <v>19559.3359939691</v>
      </c>
      <c r="G15" s="24" t="n">
        <f aca="false">G13+G14</f>
        <v>19919.3846286238</v>
      </c>
      <c r="H15" s="24" t="n">
        <f aca="false">H13+H14</f>
        <v>20278.1101785753</v>
      </c>
      <c r="I15" s="24" t="n">
        <f aca="false">I13+I14</f>
        <v>20600.945200989</v>
      </c>
      <c r="J15" s="24" t="n">
        <f aca="false">J13+J14</f>
        <v>20978.9399527872</v>
      </c>
      <c r="K15" s="24" t="n">
        <f aca="false">K13+K14</f>
        <v>21365.2676751119</v>
      </c>
      <c r="L15" s="24" t="n">
        <f aca="false">L13+L14</f>
        <v>21749.2926455989</v>
      </c>
      <c r="M15" s="24" t="n">
        <f aca="false">M13+M14</f>
        <v>22141.6159006974</v>
      </c>
      <c r="N15" s="24" t="n">
        <f aca="false">N13+N14</f>
        <v>22540.0672504293</v>
      </c>
      <c r="O15" s="24" t="n">
        <f aca="false">O13+O14</f>
        <v>22910.2673201371</v>
      </c>
      <c r="P15" s="24" t="n">
        <f aca="false">P13+P14</f>
        <v>23278.2291551687</v>
      </c>
      <c r="Q15" s="24" t="n">
        <f aca="false">Q13+Q14</f>
        <v>23665.6488767209</v>
      </c>
      <c r="R15" s="24" t="n">
        <f aca="false">R13+R14</f>
        <v>24047.0563657526</v>
      </c>
      <c r="S15" s="24" t="n">
        <f aca="false">S13+S14</f>
        <v>24428.6374945559</v>
      </c>
      <c r="T15" s="24" t="n">
        <f aca="false">T13+T14</f>
        <v>24810.9193714194</v>
      </c>
      <c r="U15" s="24" t="n">
        <f aca="false">U13+U14</f>
        <v>25169.6937044172</v>
      </c>
      <c r="V15" s="24" t="n">
        <f aca="false">V13+V14</f>
        <v>25568.7996688323</v>
      </c>
      <c r="W15" s="24" t="n">
        <f aca="false">W13+W14</f>
        <v>25975.4367662826</v>
      </c>
      <c r="X15" s="24" t="n">
        <f aca="false">X13+X14</f>
        <v>26382.1715688108</v>
      </c>
      <c r="Y15" s="24" t="n">
        <f aca="false">Y13+Y14</f>
        <v>26796.4560591234</v>
      </c>
    </row>
    <row r="16" customFormat="false" ht="15" hidden="false" customHeight="false" outlineLevel="0" collapsed="false">
      <c r="A16" s="5" t="s">
        <v>77</v>
      </c>
      <c r="B16" s="25" t="n">
        <f aca="false">B12+B15</f>
        <v>42268.5030048327</v>
      </c>
      <c r="C16" s="25" t="n">
        <f aca="false">C12+C15</f>
        <v>42999.5909550475</v>
      </c>
      <c r="D16" s="25" t="n">
        <f aca="false">D12+D15</f>
        <v>43750.9893826767</v>
      </c>
      <c r="E16" s="25" t="n">
        <f aca="false">E12+E15</f>
        <v>44538.0559389568</v>
      </c>
      <c r="F16" s="25" t="n">
        <f aca="false">F12+F15</f>
        <v>45320.2218858394</v>
      </c>
      <c r="G16" s="25" t="n">
        <f aca="false">G12+G15</f>
        <v>46104.6553451145</v>
      </c>
      <c r="H16" s="25" t="n">
        <f aca="false">H12+H15</f>
        <v>46891.3539340899</v>
      </c>
      <c r="I16" s="25" t="n">
        <f aca="false">I12+I15</f>
        <v>47645.417087411</v>
      </c>
      <c r="J16" s="25" t="n">
        <f aca="false">J12+J15</f>
        <v>48457.7557191993</v>
      </c>
      <c r="K16" s="25" t="n">
        <f aca="false">K12+K15</f>
        <v>49281.5078776874</v>
      </c>
      <c r="L16" s="25" t="n">
        <f aca="false">L12+L15</f>
        <v>50106.0619793237</v>
      </c>
      <c r="M16" s="25" t="n">
        <f aca="false">M12+M15</f>
        <v>50942.0783827871</v>
      </c>
      <c r="N16" s="25" t="n">
        <f aca="false">N12+N15</f>
        <v>52030.4754621174</v>
      </c>
      <c r="O16" s="25" t="n">
        <f aca="false">O12+O15</f>
        <v>52808.6827391227</v>
      </c>
      <c r="P16" s="25" t="n">
        <f aca="false">P12+P15</f>
        <v>53604.9163667016</v>
      </c>
      <c r="Q16" s="25" t="n">
        <f aca="false">Q12+Q15</f>
        <v>54431.1361338852</v>
      </c>
      <c r="R16" s="25" t="n">
        <f aca="false">R12+R15</f>
        <v>55258.9801885822</v>
      </c>
      <c r="S16" s="25" t="n">
        <f aca="false">S12+S15</f>
        <v>56093.3795737973</v>
      </c>
      <c r="T16" s="25" t="n">
        <f aca="false">T12+T15</f>
        <v>56934.2222196217</v>
      </c>
      <c r="U16" s="25" t="n">
        <f aca="false">U12+U15</f>
        <v>57756.9497151593</v>
      </c>
      <c r="V16" s="25" t="n">
        <f aca="false">V12+V15</f>
        <v>58625.206473101</v>
      </c>
      <c r="W16" s="25" t="n">
        <f aca="false">W12+W15</f>
        <v>59506.0887357115</v>
      </c>
      <c r="X16" s="25" t="n">
        <f aca="false">X12+X15</f>
        <v>60392.1174017201</v>
      </c>
      <c r="Y16" s="25" t="n">
        <f aca="false">Y12+Y15</f>
        <v>61290.7368876899</v>
      </c>
    </row>
    <row r="17" customFormat="false" ht="15" hidden="false" customHeight="false" outlineLevel="0" collapsed="false">
      <c r="A17" s="5" t="s">
        <v>78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customFormat="false" ht="15" hidden="false" customHeight="false" outlineLevel="0" collapsed="false">
      <c r="A18" s="5" t="s">
        <v>5</v>
      </c>
      <c r="B18" s="26" t="n">
        <f aca="false">B12*Inputs!$B$13+B15*Inputs!$B$14</f>
        <v>324237.52359301</v>
      </c>
      <c r="C18" s="26" t="n">
        <f aca="false">C12*Inputs!$B$13+C15*Inputs!$B$14</f>
        <v>329775.682206105</v>
      </c>
      <c r="D18" s="26" t="n">
        <f aca="false">D12*Inputs!$B$13+D15*Inputs!$B$14</f>
        <v>335494.73144456</v>
      </c>
      <c r="E18" s="26" t="n">
        <f aca="false">E12*Inputs!$B$13+E15*Inputs!$B$14</f>
        <v>341469.198669314</v>
      </c>
      <c r="F18" s="26" t="n">
        <f aca="false">F12*Inputs!$B$13+F15*Inputs!$B$14</f>
        <v>347421.617161963</v>
      </c>
      <c r="G18" s="26" t="n">
        <f aca="false">G12*Inputs!$B$13+G15*Inputs!$B$14</f>
        <v>353396.796537356</v>
      </c>
      <c r="H18" s="26" t="n">
        <f aca="false">H12*Inputs!$B$13+H15*Inputs!$B$14</f>
        <v>359393.430945883</v>
      </c>
      <c r="I18" s="26" t="n">
        <f aca="false">I12*Inputs!$B$13+I15*Inputs!$B$14</f>
        <v>365178.656045703</v>
      </c>
      <c r="J18" s="26" t="n">
        <f aca="false">J12*Inputs!$B$13+J15*Inputs!$B$14</f>
        <v>371357.259058468</v>
      </c>
      <c r="K18" s="26" t="n">
        <f aca="false">K12*Inputs!$B$13+K15*Inputs!$B$14</f>
        <v>377617.299343596</v>
      </c>
      <c r="L18" s="26" t="n">
        <f aca="false">L12*Inputs!$B$13+L15*Inputs!$B$14</f>
        <v>383888.197065794</v>
      </c>
      <c r="M18" s="26" t="n">
        <f aca="false">M12*Inputs!$B$13+M15*Inputs!$B$14</f>
        <v>390241.005069017</v>
      </c>
      <c r="N18" s="26" t="n">
        <f aca="false">N12*Inputs!$B$13+N15*Inputs!$B$14</f>
        <v>398711.319374031</v>
      </c>
      <c r="O18" s="26" t="n">
        <f aca="false">O12*Inputs!$B$13+O15*Inputs!$B$14</f>
        <v>404615.941714161</v>
      </c>
      <c r="P18" s="26" t="n">
        <f aca="false">P12*Inputs!$B$13+P15*Inputs!$B$14</f>
        <v>410676.565399626</v>
      </c>
      <c r="Q18" s="26" t="n">
        <f aca="false">Q12*Inputs!$B$13+Q15*Inputs!$B$14</f>
        <v>416955.474143595</v>
      </c>
      <c r="R18" s="26" t="n">
        <f aca="false">R12*Inputs!$B$13+R15*Inputs!$B$14</f>
        <v>423258.771045979</v>
      </c>
      <c r="S18" s="26" t="n">
        <f aca="false">S12*Inputs!$B$13+S15*Inputs!$B$14</f>
        <v>429617.042287585</v>
      </c>
      <c r="T18" s="26" t="n">
        <f aca="false">T12*Inputs!$B$13+T15*Inputs!$B$14</f>
        <v>436028.405524011</v>
      </c>
      <c r="U18" s="26" t="n">
        <f aca="false">U12*Inputs!$B$13+U15*Inputs!$B$14</f>
        <v>442328.795829864</v>
      </c>
      <c r="V18" s="26" t="n">
        <f aca="false">V12*Inputs!$B$13+V15*Inputs!$B$14</f>
        <v>448941.436468296</v>
      </c>
      <c r="W18" s="26" t="n">
        <f aca="false">W12*Inputs!$B$13+W15*Inputs!$B$14</f>
        <v>455647.16106226</v>
      </c>
      <c r="X18" s="26" t="n">
        <f aca="false">X12*Inputs!$B$13+X15*Inputs!$B$14</f>
        <v>462396.113103787</v>
      </c>
      <c r="Y18" s="26" t="n">
        <f aca="false">Y12*Inputs!$B$13+Y15*Inputs!$B$14</f>
        <v>469237.823602969</v>
      </c>
    </row>
    <row r="19" customFormat="false" ht="15" hidden="false" customHeight="false" outlineLevel="0" collapsed="false">
      <c r="A19" s="5" t="s">
        <v>6</v>
      </c>
      <c r="B19" s="27" t="n">
        <f aca="false">B18*(1+Inputs!$B$23*Inputs!$B$15)</f>
        <v>324237.52359301</v>
      </c>
      <c r="C19" s="27" t="n">
        <f aca="false">C18*(1+Inputs!$B$23*Inputs!$B$15)</f>
        <v>329775.682206105</v>
      </c>
      <c r="D19" s="27" t="n">
        <f aca="false">D18*(1+Inputs!$B$23*Inputs!$B$15)</f>
        <v>335494.73144456</v>
      </c>
      <c r="E19" s="27" t="n">
        <f aca="false">E18*(1+Inputs!$B$23*Inputs!$B$15)</f>
        <v>341469.198669314</v>
      </c>
      <c r="F19" s="27" t="n">
        <f aca="false">F18*(1+Inputs!$B$23*Inputs!$B$15)</f>
        <v>347421.617161963</v>
      </c>
      <c r="G19" s="27" t="n">
        <f aca="false">G18*(1+Inputs!$B$23*Inputs!$B$15)</f>
        <v>353396.796537356</v>
      </c>
      <c r="H19" s="27" t="n">
        <f aca="false">H18*(1+Inputs!$B$23*Inputs!$B$15)</f>
        <v>359393.430945883</v>
      </c>
      <c r="I19" s="27" t="n">
        <f aca="false">I18*(1+Inputs!$B$23*Inputs!$B$15)</f>
        <v>365178.656045703</v>
      </c>
      <c r="J19" s="27" t="n">
        <f aca="false">J18*(1+Inputs!$B$23*Inputs!$B$15)</f>
        <v>371357.259058468</v>
      </c>
      <c r="K19" s="27" t="n">
        <f aca="false">K18*(1+Inputs!$B$23*Inputs!$B$15)</f>
        <v>377617.299343596</v>
      </c>
      <c r="L19" s="27" t="n">
        <f aca="false">L18*(1+Inputs!$B$23*Inputs!$B$15)</f>
        <v>383888.197065794</v>
      </c>
      <c r="M19" s="27" t="n">
        <f aca="false">M18*(1+Inputs!$B$23*Inputs!$B$15)</f>
        <v>390241.005069017</v>
      </c>
      <c r="N19" s="27" t="n">
        <f aca="false">N18*(1+Inputs!$B$23*Inputs!$B$15)</f>
        <v>398711.319374031</v>
      </c>
      <c r="O19" s="27" t="n">
        <f aca="false">O18*(1+Inputs!$B$23*Inputs!$B$15)</f>
        <v>404615.941714161</v>
      </c>
      <c r="P19" s="27" t="n">
        <f aca="false">P18*(1+Inputs!$B$23*Inputs!$B$15)</f>
        <v>410676.565399626</v>
      </c>
      <c r="Q19" s="27" t="n">
        <f aca="false">Q18*(1+Inputs!$B$23*Inputs!$B$15)</f>
        <v>416955.474143595</v>
      </c>
      <c r="R19" s="27" t="n">
        <f aca="false">R18*(1+Inputs!$B$23*Inputs!$B$15)</f>
        <v>423258.771045979</v>
      </c>
      <c r="S19" s="27" t="n">
        <f aca="false">S18*(1+Inputs!$B$23*Inputs!$B$15)</f>
        <v>429617.042287585</v>
      </c>
      <c r="T19" s="27" t="n">
        <f aca="false">T18*(1+Inputs!$B$23*Inputs!$B$15)</f>
        <v>436028.405524011</v>
      </c>
      <c r="U19" s="27" t="n">
        <f aca="false">U18*(1+Inputs!$B$23*Inputs!$B$15)</f>
        <v>442328.795829864</v>
      </c>
      <c r="V19" s="27" t="n">
        <f aca="false">V18*(1+Inputs!$B$23*Inputs!$B$15)</f>
        <v>448941.436468296</v>
      </c>
      <c r="W19" s="27" t="n">
        <f aca="false">W18*(1+Inputs!$B$23*Inputs!$B$15)</f>
        <v>455647.16106226</v>
      </c>
      <c r="X19" s="27" t="n">
        <f aca="false">X18*(1+Inputs!$B$23*Inputs!$B$15)</f>
        <v>462396.113103787</v>
      </c>
      <c r="Y19" s="27" t="n">
        <f aca="false">Y18*(1+Inputs!$B$23*Inputs!$B$15)</f>
        <v>469237.823602969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5" min="2" style="0" width="9"/>
  </cols>
  <sheetData>
    <row r="1" customFormat="false" ht="17.35" hidden="false" customHeight="false" outlineLevel="0" collapsed="false">
      <c r="A1" s="1" t="s">
        <v>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15" hidden="false" customHeight="false" outlineLevel="0" collapsed="false">
      <c r="A4" s="5" t="s">
        <v>80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customFormat="false" ht="15" hidden="false" customHeight="false" outlineLevel="0" collapsed="false">
      <c r="A5" s="4" t="s">
        <v>81</v>
      </c>
      <c r="B5" s="4" t="s">
        <v>41</v>
      </c>
      <c r="C5" s="4" t="s">
        <v>42</v>
      </c>
      <c r="D5" s="4" t="s">
        <v>43</v>
      </c>
      <c r="E5" s="4" t="s">
        <v>44</v>
      </c>
      <c r="F5" s="4" t="s">
        <v>45</v>
      </c>
      <c r="G5" s="4" t="s">
        <v>46</v>
      </c>
      <c r="H5" s="4" t="s">
        <v>47</v>
      </c>
      <c r="I5" s="4" t="s">
        <v>48</v>
      </c>
      <c r="J5" s="4" t="s">
        <v>49</v>
      </c>
      <c r="K5" s="4" t="s">
        <v>50</v>
      </c>
      <c r="L5" s="4" t="s">
        <v>51</v>
      </c>
      <c r="M5" s="4" t="s">
        <v>52</v>
      </c>
      <c r="N5" s="4" t="s">
        <v>53</v>
      </c>
      <c r="O5" s="4" t="s">
        <v>54</v>
      </c>
      <c r="P5" s="4" t="s">
        <v>55</v>
      </c>
      <c r="Q5" s="4" t="s">
        <v>56</v>
      </c>
      <c r="R5" s="4" t="s">
        <v>57</v>
      </c>
      <c r="S5" s="4" t="s">
        <v>58</v>
      </c>
      <c r="T5" s="4" t="s">
        <v>59</v>
      </c>
      <c r="U5" s="4" t="s">
        <v>60</v>
      </c>
      <c r="V5" s="4" t="s">
        <v>61</v>
      </c>
      <c r="W5" s="4" t="s">
        <v>62</v>
      </c>
      <c r="X5" s="4" t="s">
        <v>63</v>
      </c>
      <c r="Y5" s="4" t="s">
        <v>64</v>
      </c>
    </row>
    <row r="6" customFormat="false" ht="15" hidden="false" customHeight="false" outlineLevel="0" collapsed="false">
      <c r="A6" s="12" t="s">
        <v>41</v>
      </c>
      <c r="B6" s="8" t="n">
        <f aca="false">Forecast!B$7*INDEX('Churn Curve'!$C$4:$C$28,0+1)</f>
        <v>2629.7586014825</v>
      </c>
      <c r="C6" s="8" t="n">
        <f aca="false">Forecast!B$7*INDEX('Churn Curve'!$C$4:$C$28,1+1)</f>
        <v>2172.33139171398</v>
      </c>
      <c r="D6" s="8" t="n">
        <f aca="false">Forecast!B$7*INDEX('Churn Curve'!$C$4:$C$28,2+1)</f>
        <v>1896.96528100831</v>
      </c>
      <c r="E6" s="8" t="n">
        <f aca="false">Forecast!B$7*INDEX('Churn Curve'!$C$4:$C$28,3+1)</f>
        <v>1697.13686090954</v>
      </c>
      <c r="F6" s="8" t="n">
        <f aca="false">Forecast!B$7*INDEX('Churn Curve'!$C$4:$C$28,4+1)</f>
        <v>1540.36086050854</v>
      </c>
      <c r="G6" s="8" t="n">
        <f aca="false">Forecast!B$7*INDEX('Churn Curve'!$C$4:$C$28,5+1)</f>
        <v>1411.84838657678</v>
      </c>
      <c r="H6" s="8" t="n">
        <f aca="false">Forecast!B$7*INDEX('Churn Curve'!$C$4:$C$28,6+1)</f>
        <v>1303.46462083818</v>
      </c>
      <c r="I6" s="8" t="n">
        <f aca="false">Forecast!B$7*INDEX('Churn Curve'!$C$4:$C$28,7+1)</f>
        <v>1210.20065516626</v>
      </c>
      <c r="J6" s="8" t="n">
        <f aca="false">Forecast!B$7*INDEX('Churn Curve'!$C$4:$C$28,8+1)</f>
        <v>1128.7305268657</v>
      </c>
      <c r="K6" s="8" t="n">
        <f aca="false">Forecast!B$7*INDEX('Churn Curve'!$C$4:$C$28,9+1)</f>
        <v>1056.72266673067</v>
      </c>
      <c r="L6" s="8" t="n">
        <f aca="false">Forecast!B$7*INDEX('Churn Curve'!$C$4:$C$28,10+1)</f>
        <v>992.474293728361</v>
      </c>
      <c r="M6" s="8" t="n">
        <f aca="false">Forecast!B$7*INDEX('Churn Curve'!$C$4:$C$28,11+1)</f>
        <v>934.701361528162</v>
      </c>
      <c r="N6" s="8" t="n">
        <f aca="false">Forecast!B$7*INDEX('Churn Curve'!$C$4:$C$28,12+1)</f>
        <v>882.410312826413</v>
      </c>
      <c r="O6" s="8" t="n">
        <f aca="false">Forecast!B$7*INDEX('Churn Curve'!$C$4:$C$28,13+1)</f>
        <v>834.815899676038</v>
      </c>
      <c r="P6" s="8" t="n">
        <f aca="false">Forecast!B$7*INDEX('Churn Curve'!$C$4:$C$28,14+1)</f>
        <v>791.286403132121</v>
      </c>
      <c r="Q6" s="8" t="n">
        <f aca="false">Forecast!B$7*INDEX('Churn Curve'!$C$4:$C$28,15+1)</f>
        <v>751.305898247525</v>
      </c>
      <c r="R6" s="8" t="n">
        <f aca="false">Forecast!B$7*INDEX('Churn Curve'!$C$4:$C$28,16+1)</f>
        <v>714.447528965068</v>
      </c>
      <c r="S6" s="8" t="n">
        <f aca="false">Forecast!B$7*INDEX('Churn Curve'!$C$4:$C$28,17+1)</f>
        <v>680.354124959325</v>
      </c>
      <c r="T6" s="8" t="n">
        <f aca="false">Forecast!B$7*INDEX('Churn Curve'!$C$4:$C$28,18+1)</f>
        <v>648.723850630213</v>
      </c>
      <c r="U6" s="8" t="n">
        <f aca="false">Forecast!B$7*INDEX('Churn Curve'!$C$4:$C$28,19+1)</f>
        <v>619.299386391974</v>
      </c>
      <c r="V6" s="8" t="n">
        <f aca="false">Forecast!B$7*INDEX('Churn Curve'!$C$4:$C$28,20+1)</f>
        <v>591.859641915508</v>
      </c>
      <c r="W6" s="8" t="n">
        <f aca="false">Forecast!B$7*INDEX('Churn Curve'!$C$4:$C$28,21+1)</f>
        <v>566.213318232444</v>
      </c>
      <c r="X6" s="8" t="n">
        <f aca="false">Forecast!B$7*INDEX('Churn Curve'!$C$4:$C$28,22+1)</f>
        <v>542.193842393353</v>
      </c>
      <c r="Y6" s="8" t="n">
        <f aca="false">Forecast!B$7*INDEX('Churn Curve'!$C$4:$C$28,23+1)</f>
        <v>519.655336298161</v>
      </c>
    </row>
    <row r="7" customFormat="false" ht="15" hidden="false" customHeight="false" outlineLevel="0" collapsed="false">
      <c r="A7" s="12" t="s">
        <v>42</v>
      </c>
      <c r="B7" s="28" t="n">
        <v>0</v>
      </c>
      <c r="C7" s="8" t="n">
        <f aca="false">Forecast!C$7*INDEX('Churn Curve'!$C$4:$C$28,0+1)</f>
        <v>2244.9643208883</v>
      </c>
      <c r="D7" s="8" t="n">
        <f aca="false">Forecast!C$7*INDEX('Churn Curve'!$C$4:$C$28,1+1)</f>
        <v>1854.46925234669</v>
      </c>
      <c r="E7" s="8" t="n">
        <f aca="false">Forecast!C$7*INDEX('Churn Curve'!$C$4:$C$28,2+1)</f>
        <v>1619.39554886397</v>
      </c>
      <c r="F7" s="8" t="n">
        <f aca="false">Forecast!C$7*INDEX('Churn Curve'!$C$4:$C$28,3+1)</f>
        <v>1448.80663124685</v>
      </c>
      <c r="G7" s="8" t="n">
        <f aca="false">Forecast!C$7*INDEX('Churn Curve'!$C$4:$C$28,4+1)</f>
        <v>1314.97057227422</v>
      </c>
      <c r="H7" s="8" t="n">
        <f aca="false">Forecast!C$7*INDEX('Churn Curve'!$C$4:$C$28,5+1)</f>
        <v>1205.26243457547</v>
      </c>
      <c r="I7" s="8" t="n">
        <f aca="false">Forecast!C$7*INDEX('Churn Curve'!$C$4:$C$28,6+1)</f>
        <v>1112.73771123794</v>
      </c>
      <c r="J7" s="8" t="n">
        <f aca="false">Forecast!C$7*INDEX('Churn Curve'!$C$4:$C$28,7+1)</f>
        <v>1033.12041281367</v>
      </c>
      <c r="K7" s="8" t="n">
        <f aca="false">Forecast!C$7*INDEX('Churn Curve'!$C$4:$C$28,8+1)</f>
        <v>963.571241589425</v>
      </c>
      <c r="L7" s="8" t="n">
        <f aca="false">Forecast!C$7*INDEX('Churn Curve'!$C$4:$C$28,9+1)</f>
        <v>902.099790660233</v>
      </c>
      <c r="M7" s="8" t="n">
        <f aca="false">Forecast!C$7*INDEX('Churn Curve'!$C$4:$C$28,10+1)</f>
        <v>847.252435095351</v>
      </c>
      <c r="N7" s="8" t="n">
        <f aca="false">Forecast!C$7*INDEX('Churn Curve'!$C$4:$C$28,11+1)</f>
        <v>797.933014130465</v>
      </c>
      <c r="O7" s="8" t="n">
        <f aca="false">Forecast!C$7*INDEX('Churn Curve'!$C$4:$C$28,12+1)</f>
        <v>753.293350789852</v>
      </c>
      <c r="P7" s="8" t="n">
        <f aca="false">Forecast!C$7*INDEX('Churn Curve'!$C$4:$C$28,13+1)</f>
        <v>712.663096995464</v>
      </c>
      <c r="Q7" s="8" t="n">
        <f aca="false">Forecast!C$7*INDEX('Churn Curve'!$C$4:$C$28,14+1)</f>
        <v>675.502968840646</v>
      </c>
      <c r="R7" s="8" t="n">
        <f aca="false">Forecast!C$7*INDEX('Churn Curve'!$C$4:$C$28,15+1)</f>
        <v>641.372533086421</v>
      </c>
      <c r="S7" s="8" t="n">
        <f aca="false">Forecast!C$7*INDEX('Churn Curve'!$C$4:$C$28,16+1)</f>
        <v>609.907392552763</v>
      </c>
      <c r="T7" s="8" t="n">
        <f aca="false">Forecast!C$7*INDEX('Churn Curve'!$C$4:$C$28,17+1)</f>
        <v>580.802639163089</v>
      </c>
      <c r="U7" s="8" t="n">
        <f aca="false">Forecast!C$7*INDEX('Churn Curve'!$C$4:$C$28,18+1)</f>
        <v>553.800602820766</v>
      </c>
      <c r="V7" s="8" t="n">
        <f aca="false">Forecast!C$7*INDEX('Churn Curve'!$C$4:$C$28,19+1)</f>
        <v>528.681615724817</v>
      </c>
      <c r="W7" s="8" t="n">
        <f aca="false">Forecast!C$7*INDEX('Churn Curve'!$C$4:$C$28,20+1)</f>
        <v>505.256938155845</v>
      </c>
      <c r="X7" s="8" t="n">
        <f aca="false">Forecast!C$7*INDEX('Churn Curve'!$C$4:$C$28,21+1)</f>
        <v>483.363262592631</v>
      </c>
      <c r="Y7" s="8" t="n">
        <f aca="false">Forecast!C$7*INDEX('Churn Curve'!$C$4:$C$28,22+1)</f>
        <v>462.858389546565</v>
      </c>
    </row>
    <row r="8" customFormat="false" ht="15" hidden="false" customHeight="false" outlineLevel="0" collapsed="false">
      <c r="A8" s="12" t="s">
        <v>43</v>
      </c>
      <c r="B8" s="28" t="n">
        <v>0</v>
      </c>
      <c r="C8" s="28" t="n">
        <v>0</v>
      </c>
      <c r="D8" s="8" t="n">
        <f aca="false">Forecast!D$7*INDEX('Churn Curve'!$C$4:$C$28,0+1)</f>
        <v>2273.25035104135</v>
      </c>
      <c r="E8" s="8" t="n">
        <f aca="false">Forecast!D$7*INDEX('Churn Curve'!$C$4:$C$28,1+1)</f>
        <v>1877.83513513676</v>
      </c>
      <c r="F8" s="8" t="n">
        <f aca="false">Forecast!D$7*INDEX('Churn Curve'!$C$4:$C$28,2+1)</f>
        <v>1639.79955747055</v>
      </c>
      <c r="G8" s="8" t="n">
        <f aca="false">Forecast!D$7*INDEX('Churn Curve'!$C$4:$C$28,3+1)</f>
        <v>1467.06125902694</v>
      </c>
      <c r="H8" s="8" t="n">
        <f aca="false">Forecast!D$7*INDEX('Churn Curve'!$C$4:$C$28,4+1)</f>
        <v>1331.53889672892</v>
      </c>
      <c r="I8" s="8" t="n">
        <f aca="false">Forecast!D$7*INDEX('Churn Curve'!$C$4:$C$28,5+1)</f>
        <v>1220.448461921</v>
      </c>
      <c r="J8" s="8" t="n">
        <f aca="false">Forecast!D$7*INDEX('Churn Curve'!$C$4:$C$28,6+1)</f>
        <v>1126.75794851282</v>
      </c>
      <c r="K8" s="8" t="n">
        <f aca="false">Forecast!D$7*INDEX('Churn Curve'!$C$4:$C$28,7+1)</f>
        <v>1046.13749058042</v>
      </c>
      <c r="L8" s="8" t="n">
        <f aca="false">Forecast!D$7*INDEX('Churn Curve'!$C$4:$C$28,8+1)</f>
        <v>975.712015917375</v>
      </c>
      <c r="M8" s="8" t="n">
        <f aca="false">Forecast!D$7*INDEX('Churn Curve'!$C$4:$C$28,9+1)</f>
        <v>913.466038953022</v>
      </c>
      <c r="N8" s="8" t="n">
        <f aca="false">Forecast!D$7*INDEX('Churn Curve'!$C$4:$C$28,10+1)</f>
        <v>857.927619419378</v>
      </c>
      <c r="O8" s="8" t="n">
        <f aca="false">Forecast!D$7*INDEX('Churn Curve'!$C$4:$C$28,11+1)</f>
        <v>807.986785180542</v>
      </c>
      <c r="P8" s="8" t="n">
        <f aca="false">Forecast!D$7*INDEX('Churn Curve'!$C$4:$C$28,12+1)</f>
        <v>762.784672427471</v>
      </c>
      <c r="Q8" s="8" t="n">
        <f aca="false">Forecast!D$7*INDEX('Churn Curve'!$C$4:$C$28,13+1)</f>
        <v>721.642486851691</v>
      </c>
      <c r="R8" s="8" t="n">
        <f aca="false">Forecast!D$7*INDEX('Churn Curve'!$C$4:$C$28,14+1)</f>
        <v>684.014149694307</v>
      </c>
      <c r="S8" s="8" t="n">
        <f aca="false">Forecast!D$7*INDEX('Churn Curve'!$C$4:$C$28,15+1)</f>
        <v>649.453678359607</v>
      </c>
      <c r="T8" s="8" t="n">
        <f aca="false">Forecast!D$7*INDEX('Churn Curve'!$C$4:$C$28,16+1)</f>
        <v>617.592084347547</v>
      </c>
      <c r="U8" s="8" t="n">
        <f aca="false">Forecast!D$7*INDEX('Churn Curve'!$C$4:$C$28,17+1)</f>
        <v>588.120617810444</v>
      </c>
      <c r="V8" s="8" t="n">
        <f aca="false">Forecast!D$7*INDEX('Churn Curve'!$C$4:$C$28,18+1)</f>
        <v>560.778362068166</v>
      </c>
      <c r="W8" s="8" t="n">
        <f aca="false">Forecast!D$7*INDEX('Churn Curve'!$C$4:$C$28,19+1)</f>
        <v>535.342881556353</v>
      </c>
      <c r="X8" s="8" t="n">
        <f aca="false">Forecast!D$7*INDEX('Churn Curve'!$C$4:$C$28,20+1)</f>
        <v>511.623058478887</v>
      </c>
      <c r="Y8" s="8" t="n">
        <f aca="false">Forecast!D$7*INDEX('Churn Curve'!$C$4:$C$28,21+1)</f>
        <v>489.453527677627</v>
      </c>
    </row>
    <row r="9" customFormat="false" ht="15" hidden="false" customHeight="false" outlineLevel="0" collapsed="false">
      <c r="A9" s="12" t="s">
        <v>44</v>
      </c>
      <c r="B9" s="28" t="n">
        <v>0</v>
      </c>
      <c r="C9" s="28" t="n">
        <v>0</v>
      </c>
      <c r="D9" s="28" t="n">
        <v>0</v>
      </c>
      <c r="E9" s="8" t="n">
        <f aca="false">Forecast!E$7*INDEX('Churn Curve'!$C$4:$C$28,0+1)</f>
        <v>2301.89277861879</v>
      </c>
      <c r="F9" s="8" t="n">
        <f aca="false">Forecast!E$7*INDEX('Churn Curve'!$C$4:$C$28,1+1)</f>
        <v>1901.49542263474</v>
      </c>
      <c r="G9" s="8" t="n">
        <f aca="false">Forecast!E$7*INDEX('Churn Curve'!$C$4:$C$28,2+1)</f>
        <v>1660.46065185677</v>
      </c>
      <c r="H9" s="8" t="n">
        <f aca="false">Forecast!E$7*INDEX('Churn Curve'!$C$4:$C$28,3+1)</f>
        <v>1485.54589088638</v>
      </c>
      <c r="I9" s="8" t="n">
        <f aca="false">Forecast!E$7*INDEX('Churn Curve'!$C$4:$C$28,4+1)</f>
        <v>1348.3159782319</v>
      </c>
      <c r="J9" s="8" t="n">
        <f aca="false">Forecast!E$7*INDEX('Churn Curve'!$C$4:$C$28,5+1)</f>
        <v>1235.82582969158</v>
      </c>
      <c r="K9" s="8" t="n">
        <f aca="false">Forecast!E$7*INDEX('Churn Curve'!$C$4:$C$28,6+1)</f>
        <v>1140.95483752806</v>
      </c>
      <c r="L9" s="8" t="n">
        <f aca="false">Forecast!E$7*INDEX('Churn Curve'!$C$4:$C$28,7+1)</f>
        <v>1059.3185805102</v>
      </c>
      <c r="M9" s="8" t="n">
        <f aca="false">Forecast!E$7*INDEX('Churn Curve'!$C$4:$C$28,8+1)</f>
        <v>988.005761188127</v>
      </c>
      <c r="N9" s="8" t="n">
        <f aca="false">Forecast!E$7*INDEX('Churn Curve'!$C$4:$C$28,9+1)</f>
        <v>924.975499340074</v>
      </c>
      <c r="O9" s="8" t="n">
        <f aca="false">Forecast!E$7*INDEX('Churn Curve'!$C$4:$C$28,10+1)</f>
        <v>868.737308591821</v>
      </c>
      <c r="P9" s="8" t="n">
        <f aca="false">Forecast!E$7*INDEX('Churn Curve'!$C$4:$C$28,11+1)</f>
        <v>818.167231415801</v>
      </c>
      <c r="Q9" s="8" t="n">
        <f aca="false">Forecast!E$7*INDEX('Churn Curve'!$C$4:$C$28,12+1)</f>
        <v>772.395582518027</v>
      </c>
      <c r="R9" s="8" t="n">
        <f aca="false">Forecast!E$7*INDEX('Churn Curve'!$C$4:$C$28,13+1)</f>
        <v>730.735014939054</v>
      </c>
      <c r="S9" s="8" t="n">
        <f aca="false">Forecast!E$7*INDEX('Churn Curve'!$C$4:$C$28,14+1)</f>
        <v>692.632569454184</v>
      </c>
      <c r="T9" s="8" t="n">
        <f aca="false">Forecast!E$7*INDEX('Churn Curve'!$C$4:$C$28,15+1)</f>
        <v>657.636644190358</v>
      </c>
      <c r="U9" s="8" t="n">
        <f aca="false">Forecast!E$7*INDEX('Churn Curve'!$C$4:$C$28,16+1)</f>
        <v>625.37360147795</v>
      </c>
      <c r="V9" s="8" t="n">
        <f aca="false">Forecast!E$7*INDEX('Churn Curve'!$C$4:$C$28,17+1)</f>
        <v>595.53080129275</v>
      </c>
      <c r="W9" s="8" t="n">
        <f aca="false">Forecast!E$7*INDEX('Churn Curve'!$C$4:$C$28,18+1)</f>
        <v>567.844039464927</v>
      </c>
      <c r="X9" s="8" t="n">
        <f aca="false">Forecast!E$7*INDEX('Churn Curve'!$C$4:$C$28,19+1)</f>
        <v>542.088077793561</v>
      </c>
      <c r="Y9" s="8" t="n">
        <f aca="false">Forecast!E$7*INDEX('Churn Curve'!$C$4:$C$28,20+1)</f>
        <v>518.069390442595</v>
      </c>
    </row>
    <row r="10" customFormat="false" ht="15" hidden="false" customHeight="false" outlineLevel="0" collapsed="false">
      <c r="A10" s="12" t="s">
        <v>45</v>
      </c>
      <c r="B10" s="28" t="n">
        <v>0</v>
      </c>
      <c r="C10" s="28" t="n">
        <v>0</v>
      </c>
      <c r="D10" s="28" t="n">
        <v>0</v>
      </c>
      <c r="E10" s="28" t="n">
        <v>0</v>
      </c>
      <c r="F10" s="8" t="n">
        <f aca="false">Forecast!F$7*INDEX('Churn Curve'!$C$4:$C$28,0+1)</f>
        <v>2330.89609414557</v>
      </c>
      <c r="G10" s="8" t="n">
        <f aca="false">Forecast!F$7*INDEX('Churn Curve'!$C$4:$C$28,1+1)</f>
        <v>1925.45382427172</v>
      </c>
      <c r="H10" s="8" t="n">
        <f aca="false">Forecast!F$7*INDEX('Churn Curve'!$C$4:$C$28,2+1)</f>
        <v>1681.38207124386</v>
      </c>
      <c r="I10" s="8" t="n">
        <f aca="false">Forecast!F$7*INDEX('Churn Curve'!$C$4:$C$28,3+1)</f>
        <v>1504.26342482327</v>
      </c>
      <c r="J10" s="8" t="n">
        <f aca="false">Forecast!F$7*INDEX('Churn Curve'!$C$4:$C$28,4+1)</f>
        <v>1365.30444707358</v>
      </c>
      <c r="K10" s="8" t="n">
        <f aca="false">Forecast!F$7*INDEX('Churn Curve'!$C$4:$C$28,5+1)</f>
        <v>1251.39694873223</v>
      </c>
      <c r="L10" s="8" t="n">
        <f aca="false">Forecast!F$7*INDEX('Churn Curve'!$C$4:$C$28,6+1)</f>
        <v>1155.33060405463</v>
      </c>
      <c r="M10" s="8" t="n">
        <f aca="false">Forecast!F$7*INDEX('Churn Curve'!$C$4:$C$28,7+1)</f>
        <v>1072.66574911827</v>
      </c>
      <c r="N10" s="8" t="n">
        <f aca="false">Forecast!F$7*INDEX('Churn Curve'!$C$4:$C$28,8+1)</f>
        <v>1000.45440480011</v>
      </c>
      <c r="O10" s="8" t="n">
        <f aca="false">Forecast!F$7*INDEX('Churn Curve'!$C$4:$C$28,9+1)</f>
        <v>936.629976260583</v>
      </c>
      <c r="P10" s="8" t="n">
        <f aca="false">Forecast!F$7*INDEX('Churn Curve'!$C$4:$C$28,10+1)</f>
        <v>879.683197342596</v>
      </c>
      <c r="Q10" s="8" t="n">
        <f aca="false">Forecast!F$7*INDEX('Churn Curve'!$C$4:$C$28,11+1)</f>
        <v>828.475948914217</v>
      </c>
      <c r="R10" s="8" t="n">
        <f aca="false">Forecast!F$7*INDEX('Churn Curve'!$C$4:$C$28,12+1)</f>
        <v>782.127587848311</v>
      </c>
      <c r="S10" s="8" t="n">
        <f aca="false">Forecast!F$7*INDEX('Churn Curve'!$C$4:$C$28,13+1)</f>
        <v>739.942106773045</v>
      </c>
      <c r="T10" s="8" t="n">
        <f aca="false">Forecast!F$7*INDEX('Churn Curve'!$C$4:$C$28,14+1)</f>
        <v>701.359579305641</v>
      </c>
      <c r="U10" s="8" t="n">
        <f aca="false">Forecast!F$7*INDEX('Churn Curve'!$C$4:$C$28,15+1)</f>
        <v>665.922713494103</v>
      </c>
      <c r="V10" s="8" t="n">
        <f aca="false">Forecast!F$7*INDEX('Churn Curve'!$C$4:$C$28,16+1)</f>
        <v>633.253163920761</v>
      </c>
      <c r="W10" s="8" t="n">
        <f aca="false">Forecast!F$7*INDEX('Churn Curve'!$C$4:$C$28,17+1)</f>
        <v>603.034351369559</v>
      </c>
      <c r="X10" s="8" t="n">
        <f aca="false">Forecast!F$7*INDEX('Churn Curve'!$C$4:$C$28,18+1)</f>
        <v>574.998742759355</v>
      </c>
      <c r="Y10" s="8" t="n">
        <f aca="false">Forecast!F$7*INDEX('Churn Curve'!$C$4:$C$28,19+1)</f>
        <v>548.918261940099</v>
      </c>
    </row>
    <row r="11" customFormat="false" ht="15" hidden="false" customHeight="false" outlineLevel="0" collapsed="false">
      <c r="A11" s="12" t="s">
        <v>46</v>
      </c>
      <c r="B11" s="28" t="n">
        <v>0</v>
      </c>
      <c r="C11" s="28" t="n">
        <v>0</v>
      </c>
      <c r="D11" s="28" t="n">
        <v>0</v>
      </c>
      <c r="E11" s="28" t="n">
        <v>0</v>
      </c>
      <c r="F11" s="28" t="n">
        <v>0</v>
      </c>
      <c r="G11" s="8" t="n">
        <f aca="false">Forecast!G$7*INDEX('Churn Curve'!$C$4:$C$28,0+1)</f>
        <v>2360.26484472621</v>
      </c>
      <c r="H11" s="8" t="n">
        <f aca="false">Forecast!G$7*INDEX('Churn Curve'!$C$4:$C$28,1+1)</f>
        <v>1949.71409621675</v>
      </c>
      <c r="I11" s="8" t="n">
        <f aca="false">Forecast!G$7*INDEX('Churn Curve'!$C$4:$C$28,2+1)</f>
        <v>1702.56709566651</v>
      </c>
      <c r="J11" s="8" t="n">
        <f aca="false">Forecast!G$7*INDEX('Churn Curve'!$C$4:$C$28,3+1)</f>
        <v>1523.21679534982</v>
      </c>
      <c r="K11" s="8" t="n">
        <f aca="false">Forecast!G$7*INDEX('Churn Curve'!$C$4:$C$28,4+1)</f>
        <v>1382.50696668544</v>
      </c>
      <c r="L11" s="8" t="n">
        <f aca="false">Forecast!G$7*INDEX('Churn Curve'!$C$4:$C$28,5+1)</f>
        <v>1267.16426026405</v>
      </c>
      <c r="M11" s="8" t="n">
        <f aca="false">Forecast!G$7*INDEX('Churn Curve'!$C$4:$C$28,6+1)</f>
        <v>1169.88750190773</v>
      </c>
      <c r="N11" s="8" t="n">
        <f aca="false">Forecast!G$7*INDEX('Churn Curve'!$C$4:$C$28,7+1)</f>
        <v>1086.18108895748</v>
      </c>
      <c r="O11" s="8" t="n">
        <f aca="false">Forecast!G$7*INDEX('Churn Curve'!$C$4:$C$28,8+1)</f>
        <v>1013.05989843651</v>
      </c>
      <c r="P11" s="8" t="n">
        <f aca="false">Forecast!G$7*INDEX('Churn Curve'!$C$4:$C$28,9+1)</f>
        <v>948.431296889264</v>
      </c>
      <c r="Q11" s="8" t="n">
        <f aca="false">Forecast!G$7*INDEX('Churn Curve'!$C$4:$C$28,10+1)</f>
        <v>890.767001754825</v>
      </c>
      <c r="R11" s="8" t="n">
        <f aca="false">Forecast!G$7*INDEX('Churn Curve'!$C$4:$C$28,11+1)</f>
        <v>838.914553863977</v>
      </c>
      <c r="S11" s="8" t="n">
        <f aca="false">Forecast!G$7*INDEX('Churn Curve'!$C$4:$C$28,12+1)</f>
        <v>791.982214190279</v>
      </c>
      <c r="T11" s="8" t="n">
        <f aca="false">Forecast!G$7*INDEX('Churn Curve'!$C$4:$C$28,13+1)</f>
        <v>749.265205830319</v>
      </c>
      <c r="U11" s="8" t="n">
        <f aca="false">Forecast!G$7*INDEX('Churn Curve'!$C$4:$C$28,14+1)</f>
        <v>710.196547458666</v>
      </c>
      <c r="V11" s="8" t="n">
        <f aca="false">Forecast!G$7*INDEX('Churn Curve'!$C$4:$C$28,15+1)</f>
        <v>674.313185350706</v>
      </c>
      <c r="W11" s="8" t="n">
        <f aca="false">Forecast!G$7*INDEX('Churn Curve'!$C$4:$C$28,16+1)</f>
        <v>641.232007024194</v>
      </c>
      <c r="X11" s="8" t="n">
        <f aca="false">Forecast!G$7*INDEX('Churn Curve'!$C$4:$C$28,17+1)</f>
        <v>610.632444438321</v>
      </c>
      <c r="Y11" s="8" t="n">
        <f aca="false">Forecast!G$7*INDEX('Churn Curve'!$C$4:$C$28,18+1)</f>
        <v>582.243593657126</v>
      </c>
    </row>
    <row r="12" customFormat="false" ht="15" hidden="false" customHeight="false" outlineLevel="0" collapsed="false">
      <c r="A12" s="12" t="s">
        <v>47</v>
      </c>
      <c r="B12" s="28" t="n">
        <v>0</v>
      </c>
      <c r="C12" s="28" t="n">
        <v>0</v>
      </c>
      <c r="D12" s="28" t="n">
        <v>0</v>
      </c>
      <c r="E12" s="28" t="n">
        <v>0</v>
      </c>
      <c r="F12" s="28" t="n">
        <v>0</v>
      </c>
      <c r="G12" s="28" t="n">
        <v>0</v>
      </c>
      <c r="H12" s="8" t="n">
        <f aca="false">Forecast!H$7*INDEX('Churn Curve'!$C$4:$C$28,0+1)</f>
        <v>2390.00363475771</v>
      </c>
      <c r="I12" s="8" t="n">
        <f aca="false">Forecast!H$7*INDEX('Churn Curve'!$C$4:$C$28,1+1)</f>
        <v>1974.28004196576</v>
      </c>
      <c r="J12" s="8" t="n">
        <f aca="false">Forecast!H$7*INDEX('Churn Curve'!$C$4:$C$28,2+1)</f>
        <v>1724.01904648707</v>
      </c>
      <c r="K12" s="8" t="n">
        <f aca="false">Forecast!H$7*INDEX('Churn Curve'!$C$4:$C$28,3+1)</f>
        <v>1542.40897395239</v>
      </c>
      <c r="L12" s="8" t="n">
        <f aca="false">Forecast!H$7*INDEX('Churn Curve'!$C$4:$C$28,4+1)</f>
        <v>1399.92623405758</v>
      </c>
      <c r="M12" s="8" t="n">
        <f aca="false">Forecast!H$7*INDEX('Churn Curve'!$C$4:$C$28,5+1)</f>
        <v>1283.13023626696</v>
      </c>
      <c r="N12" s="8" t="n">
        <f aca="false">Forecast!H$7*INDEX('Churn Curve'!$C$4:$C$28,6+1)</f>
        <v>1184.62781330009</v>
      </c>
      <c r="O12" s="8" t="n">
        <f aca="false">Forecast!H$7*INDEX('Churn Curve'!$C$4:$C$28,7+1)</f>
        <v>1099.86671894636</v>
      </c>
      <c r="P12" s="8" t="n">
        <f aca="false">Forecast!H$7*INDEX('Churn Curve'!$C$4:$C$28,8+1)</f>
        <v>1025.82421837131</v>
      </c>
      <c r="Q12" s="8" t="n">
        <f aca="false">Forecast!H$7*INDEX('Churn Curve'!$C$4:$C$28,9+1)</f>
        <v>960.381311422807</v>
      </c>
      <c r="R12" s="8" t="n">
        <f aca="false">Forecast!H$7*INDEX('Churn Curve'!$C$4:$C$28,10+1)</f>
        <v>901.99045953388</v>
      </c>
      <c r="S12" s="8" t="n">
        <f aca="false">Forecast!H$7*INDEX('Churn Curve'!$C$4:$C$28,11+1)</f>
        <v>849.484682816866</v>
      </c>
      <c r="T12" s="8" t="n">
        <f aca="false">Forecast!H$7*INDEX('Churn Curve'!$C$4:$C$28,12+1)</f>
        <v>801.96100654026</v>
      </c>
      <c r="U12" s="8" t="n">
        <f aca="false">Forecast!H$7*INDEX('Churn Curve'!$C$4:$C$28,13+1)</f>
        <v>758.705773775006</v>
      </c>
      <c r="V12" s="8" t="n">
        <f aca="false">Forecast!H$7*INDEX('Churn Curve'!$C$4:$C$28,14+1)</f>
        <v>719.144859362373</v>
      </c>
      <c r="W12" s="8" t="n">
        <f aca="false">Forecast!H$7*INDEX('Churn Curve'!$C$4:$C$28,15+1)</f>
        <v>682.809375208137</v>
      </c>
      <c r="X12" s="8" t="n">
        <f aca="false">Forecast!H$7*INDEX('Churn Curve'!$C$4:$C$28,16+1)</f>
        <v>649.311381701564</v>
      </c>
      <c r="Y12" s="8" t="n">
        <f aca="false">Forecast!H$7*INDEX('Churn Curve'!$C$4:$C$28,17+1)</f>
        <v>618.326271718826</v>
      </c>
    </row>
    <row r="13" customFormat="false" ht="15" hidden="false" customHeight="false" outlineLevel="0" collapsed="false">
      <c r="A13" s="12" t="s">
        <v>48</v>
      </c>
      <c r="B13" s="28" t="n">
        <v>0</v>
      </c>
      <c r="C13" s="28" t="n">
        <v>0</v>
      </c>
      <c r="D13" s="28" t="n">
        <v>0</v>
      </c>
      <c r="E13" s="28" t="n">
        <v>0</v>
      </c>
      <c r="F13" s="28" t="n">
        <v>0</v>
      </c>
      <c r="G13" s="28" t="n">
        <v>0</v>
      </c>
      <c r="H13" s="28" t="n">
        <v>0</v>
      </c>
      <c r="I13" s="8" t="n">
        <f aca="false">Forecast!I$7*INDEX('Churn Curve'!$C$4:$C$28,0+1)</f>
        <v>2420.11712665137</v>
      </c>
      <c r="J13" s="8" t="n">
        <f aca="false">Forecast!I$7*INDEX('Churn Curve'!$C$4:$C$28,1+1)</f>
        <v>1999.15551293783</v>
      </c>
      <c r="K13" s="8" t="n">
        <f aca="false">Forecast!I$7*INDEX('Churn Curve'!$C$4:$C$28,2+1)</f>
        <v>1745.74128691629</v>
      </c>
      <c r="L13" s="8" t="n">
        <f aca="false">Forecast!I$7*INDEX('Churn Curve'!$C$4:$C$28,3+1)</f>
        <v>1561.8429695574</v>
      </c>
      <c r="M13" s="8" t="n">
        <f aca="false">Forecast!I$7*INDEX('Churn Curve'!$C$4:$C$28,4+1)</f>
        <v>1417.56498016154</v>
      </c>
      <c r="N13" s="8" t="n">
        <f aca="false">Forecast!I$7*INDEX('Churn Curve'!$C$4:$C$28,5+1)</f>
        <v>1299.29737986725</v>
      </c>
      <c r="O13" s="8" t="n">
        <f aca="false">Forecast!I$7*INDEX('Churn Curve'!$C$4:$C$28,6+1)</f>
        <v>1199.5538491998</v>
      </c>
      <c r="P13" s="8" t="n">
        <f aca="false">Forecast!I$7*INDEX('Churn Curve'!$C$4:$C$28,7+1)</f>
        <v>1113.72478470133</v>
      </c>
      <c r="Q13" s="8" t="n">
        <f aca="false">Forecast!I$7*INDEX('Churn Curve'!$C$4:$C$28,8+1)</f>
        <v>1038.74936577904</v>
      </c>
      <c r="R13" s="8" t="n">
        <f aca="false">Forecast!I$7*INDEX('Churn Curve'!$C$4:$C$28,9+1)</f>
        <v>972.481893369952</v>
      </c>
      <c r="S13" s="8" t="n">
        <f aca="false">Forecast!I$7*INDEX('Churn Curve'!$C$4:$C$28,10+1)</f>
        <v>913.355330279816</v>
      </c>
      <c r="T13" s="8" t="n">
        <f aca="false">Forecast!I$7*INDEX('Churn Curve'!$C$4:$C$28,11+1)</f>
        <v>860.187992944841</v>
      </c>
      <c r="U13" s="8" t="n">
        <f aca="false">Forecast!I$7*INDEX('Churn Curve'!$C$4:$C$28,12+1)</f>
        <v>812.065529361179</v>
      </c>
      <c r="V13" s="8" t="n">
        <f aca="false">Forecast!I$7*INDEX('Churn Curve'!$C$4:$C$28,13+1)</f>
        <v>768.265290687862</v>
      </c>
      <c r="W13" s="8" t="n">
        <f aca="false">Forecast!I$7*INDEX('Churn Curve'!$C$4:$C$28,14+1)</f>
        <v>728.205917922218</v>
      </c>
      <c r="X13" s="8" t="n">
        <f aca="false">Forecast!I$7*INDEX('Churn Curve'!$C$4:$C$28,15+1)</f>
        <v>691.412615088705</v>
      </c>
      <c r="Y13" s="8" t="n">
        <f aca="false">Forecast!I$7*INDEX('Churn Curve'!$C$4:$C$28,16+1)</f>
        <v>657.492554627403</v>
      </c>
    </row>
    <row r="14" customFormat="false" ht="15" hidden="false" customHeight="false" outlineLevel="0" collapsed="false">
      <c r="A14" s="12" t="s">
        <v>49</v>
      </c>
      <c r="B14" s="28" t="n">
        <v>0</v>
      </c>
      <c r="C14" s="28" t="n">
        <v>0</v>
      </c>
      <c r="D14" s="28" t="n">
        <v>0</v>
      </c>
      <c r="E14" s="28" t="n">
        <v>0</v>
      </c>
      <c r="F14" s="28" t="n">
        <v>0</v>
      </c>
      <c r="G14" s="28" t="n">
        <v>0</v>
      </c>
      <c r="H14" s="28" t="n">
        <v>0</v>
      </c>
      <c r="I14" s="28" t="n">
        <v>0</v>
      </c>
      <c r="J14" s="8" t="n">
        <f aca="false">Forecast!J$7*INDEX('Churn Curve'!$C$4:$C$28,0+1)</f>
        <v>2450.61004156383</v>
      </c>
      <c r="K14" s="8" t="n">
        <f aca="false">Forecast!J$7*INDEX('Churn Curve'!$C$4:$C$28,1+1)</f>
        <v>2024.34440907905</v>
      </c>
      <c r="L14" s="8" t="n">
        <f aca="false">Forecast!J$7*INDEX('Churn Curve'!$C$4:$C$28,2+1)</f>
        <v>1767.7372225406</v>
      </c>
      <c r="M14" s="8" t="n">
        <f aca="false">Forecast!J$7*INDEX('Churn Curve'!$C$4:$C$28,3+1)</f>
        <v>1581.52182900303</v>
      </c>
      <c r="N14" s="8" t="n">
        <f aca="false">Forecast!J$7*INDEX('Churn Curve'!$C$4:$C$28,4+1)</f>
        <v>1435.42597037847</v>
      </c>
      <c r="O14" s="8" t="n">
        <f aca="false">Forecast!J$7*INDEX('Churn Curve'!$C$4:$C$28,5+1)</f>
        <v>1315.66822573003</v>
      </c>
      <c r="P14" s="8" t="n">
        <f aca="false">Forecast!J$7*INDEX('Churn Curve'!$C$4:$C$28,6+1)</f>
        <v>1214.6679496926</v>
      </c>
      <c r="Q14" s="8" t="n">
        <f aca="false">Forecast!J$7*INDEX('Churn Curve'!$C$4:$C$28,7+1)</f>
        <v>1127.75745887309</v>
      </c>
      <c r="R14" s="8" t="n">
        <f aca="false">Forecast!J$7*INDEX('Churn Curve'!$C$4:$C$28,8+1)</f>
        <v>1051.83736704859</v>
      </c>
      <c r="S14" s="8" t="n">
        <f aca="false">Forecast!J$7*INDEX('Churn Curve'!$C$4:$C$28,9+1)</f>
        <v>984.734939845215</v>
      </c>
      <c r="T14" s="8" t="n">
        <f aca="false">Forecast!J$7*INDEX('Churn Curve'!$C$4:$C$28,10+1)</f>
        <v>924.863395763242</v>
      </c>
      <c r="U14" s="8" t="n">
        <f aca="false">Forecast!J$7*INDEX('Churn Curve'!$C$4:$C$28,11+1)</f>
        <v>871.026162299843</v>
      </c>
      <c r="V14" s="8" t="n">
        <f aca="false">Forecast!J$7*INDEX('Churn Curve'!$C$4:$C$28,12+1)</f>
        <v>822.297366827829</v>
      </c>
      <c r="W14" s="8" t="n">
        <f aca="false">Forecast!J$7*INDEX('Churn Curve'!$C$4:$C$28,13+1)</f>
        <v>777.945255298317</v>
      </c>
      <c r="X14" s="8" t="n">
        <f aca="false">Forecast!J$7*INDEX('Churn Curve'!$C$4:$C$28,14+1)</f>
        <v>737.381143719937</v>
      </c>
      <c r="Y14" s="8" t="n">
        <f aca="false">Forecast!J$7*INDEX('Churn Curve'!$C$4:$C$28,15+1)</f>
        <v>700.124253797892</v>
      </c>
    </row>
    <row r="15" customFormat="false" ht="15" hidden="false" customHeight="false" outlineLevel="0" collapsed="false">
      <c r="A15" s="12" t="s">
        <v>50</v>
      </c>
      <c r="B15" s="28" t="n">
        <v>0</v>
      </c>
      <c r="C15" s="28" t="n">
        <v>0</v>
      </c>
      <c r="D15" s="28" t="n">
        <v>0</v>
      </c>
      <c r="E15" s="28" t="n">
        <v>0</v>
      </c>
      <c r="F15" s="28" t="n">
        <v>0</v>
      </c>
      <c r="G15" s="28" t="n">
        <v>0</v>
      </c>
      <c r="H15" s="28" t="n">
        <v>0</v>
      </c>
      <c r="I15" s="28" t="n">
        <v>0</v>
      </c>
      <c r="J15" s="28" t="n">
        <v>0</v>
      </c>
      <c r="K15" s="8" t="n">
        <f aca="false">Forecast!K$7*INDEX('Churn Curve'!$C$4:$C$28,0+1)</f>
        <v>2481.48716013719</v>
      </c>
      <c r="L15" s="8" t="n">
        <f aca="false">Forecast!K$7*INDEX('Churn Curve'!$C$4:$C$28,1+1)</f>
        <v>2049.85067947389</v>
      </c>
      <c r="M15" s="8" t="n">
        <f aca="false">Forecast!K$7*INDEX('Churn Curve'!$C$4:$C$28,2+1)</f>
        <v>1790.01030185602</v>
      </c>
      <c r="N15" s="8" t="n">
        <f aca="false">Forecast!K$7*INDEX('Churn Curve'!$C$4:$C$28,3+1)</f>
        <v>1601.44863751693</v>
      </c>
      <c r="O15" s="8" t="n">
        <f aca="false">Forecast!K$7*INDEX('Churn Curve'!$C$4:$C$28,4+1)</f>
        <v>1453.5120049327</v>
      </c>
      <c r="P15" s="8" t="n">
        <f aca="false">Forecast!K$7*INDEX('Churn Curve'!$C$4:$C$28,5+1)</f>
        <v>1332.24534045659</v>
      </c>
      <c r="Q15" s="8" t="n">
        <f aca="false">Forecast!K$7*INDEX('Churn Curve'!$C$4:$C$28,6+1)</f>
        <v>1229.97248434879</v>
      </c>
      <c r="R15" s="8" t="n">
        <f aca="false">Forecast!K$7*INDEX('Churn Curve'!$C$4:$C$28,7+1)</f>
        <v>1141.96694148723</v>
      </c>
      <c r="S15" s="8" t="n">
        <f aca="false">Forecast!K$7*INDEX('Churn Curve'!$C$4:$C$28,8+1)</f>
        <v>1065.09027410088</v>
      </c>
      <c r="T15" s="8" t="n">
        <f aca="false">Forecast!K$7*INDEX('Churn Curve'!$C$4:$C$28,9+1)</f>
        <v>997.142371866316</v>
      </c>
      <c r="U15" s="8" t="n">
        <f aca="false">Forecast!K$7*INDEX('Churn Curve'!$C$4:$C$28,10+1)</f>
        <v>936.516460204665</v>
      </c>
      <c r="V15" s="8" t="n">
        <f aca="false">Forecast!K$7*INDEX('Churn Curve'!$C$4:$C$28,11+1)</f>
        <v>882.000890076878</v>
      </c>
      <c r="W15" s="8" t="n">
        <f aca="false">Forecast!K$7*INDEX('Churn Curve'!$C$4:$C$28,12+1)</f>
        <v>832.658123075242</v>
      </c>
      <c r="X15" s="8" t="n">
        <f aca="false">Forecast!K$7*INDEX('Churn Curve'!$C$4:$C$28,13+1)</f>
        <v>787.747185219448</v>
      </c>
      <c r="Y15" s="8" t="n">
        <f aca="false">Forecast!K$7*INDEX('Churn Curve'!$C$4:$C$28,14+1)</f>
        <v>746.671975236268</v>
      </c>
    </row>
    <row r="16" customFormat="false" ht="15" hidden="false" customHeight="false" outlineLevel="0" collapsed="false">
      <c r="A16" s="12" t="s">
        <v>51</v>
      </c>
      <c r="B16" s="28" t="n">
        <v>0</v>
      </c>
      <c r="C16" s="28" t="n">
        <v>0</v>
      </c>
      <c r="D16" s="28" t="n">
        <v>0</v>
      </c>
      <c r="E16" s="28" t="n">
        <v>0</v>
      </c>
      <c r="F16" s="28" t="n">
        <v>0</v>
      </c>
      <c r="G16" s="28" t="n">
        <v>0</v>
      </c>
      <c r="H16" s="28" t="n">
        <v>0</v>
      </c>
      <c r="I16" s="28" t="n">
        <v>0</v>
      </c>
      <c r="J16" s="28" t="n">
        <v>0</v>
      </c>
      <c r="K16" s="28" t="n">
        <v>0</v>
      </c>
      <c r="L16" s="8" t="n">
        <f aca="false">Forecast!L$7*INDEX('Churn Curve'!$C$4:$C$28,0+1)</f>
        <v>2512.75332324853</v>
      </c>
      <c r="M16" s="8" t="n">
        <f aca="false">Forecast!L$7*INDEX('Churn Curve'!$C$4:$C$28,1+1)</f>
        <v>2075.67832296441</v>
      </c>
      <c r="N16" s="8" t="n">
        <f aca="false">Forecast!L$7*INDEX('Churn Curve'!$C$4:$C$28,2+1)</f>
        <v>1812.56401680884</v>
      </c>
      <c r="O16" s="8" t="n">
        <f aca="false">Forecast!L$7*INDEX('Churn Curve'!$C$4:$C$28,3+1)</f>
        <v>1621.62651919989</v>
      </c>
      <c r="P16" s="8" t="n">
        <f aca="false">Forecast!L$7*INDEX('Churn Curve'!$C$4:$C$28,4+1)</f>
        <v>1471.82591933071</v>
      </c>
      <c r="Q16" s="8" t="n">
        <f aca="false">Forecast!L$7*INDEX('Churn Curve'!$C$4:$C$28,5+1)</f>
        <v>1349.03132298681</v>
      </c>
      <c r="R16" s="8" t="n">
        <f aca="false">Forecast!L$7*INDEX('Churn Curve'!$C$4:$C$28,6+1)</f>
        <v>1245.46985259469</v>
      </c>
      <c r="S16" s="8" t="n">
        <f aca="false">Forecast!L$7*INDEX('Churn Curve'!$C$4:$C$28,7+1)</f>
        <v>1156.35546028912</v>
      </c>
      <c r="T16" s="8" t="n">
        <f aca="false">Forecast!L$7*INDEX('Churn Curve'!$C$4:$C$28,8+1)</f>
        <v>1078.51016471055</v>
      </c>
      <c r="U16" s="8" t="n">
        <f aca="false">Forecast!L$7*INDEX('Churn Curve'!$C$4:$C$28,9+1)</f>
        <v>1009.70613465535</v>
      </c>
      <c r="V16" s="8" t="n">
        <f aca="false">Forecast!L$7*INDEX('Churn Curve'!$C$4:$C$28,10+1)</f>
        <v>948.31635055735</v>
      </c>
      <c r="W16" s="8" t="n">
        <f aca="false">Forecast!L$7*INDEX('Churn Curve'!$C$4:$C$28,11+1)</f>
        <v>893.113896880413</v>
      </c>
      <c r="X16" s="8" t="n">
        <f aca="false">Forecast!L$7*INDEX('Churn Curve'!$C$4:$C$28,12+1)</f>
        <v>843.149422450175</v>
      </c>
      <c r="Y16" s="8" t="n">
        <f aca="false">Forecast!L$7*INDEX('Churn Curve'!$C$4:$C$28,13+1)</f>
        <v>797.672617185902</v>
      </c>
    </row>
    <row r="17" customFormat="false" ht="15" hidden="false" customHeight="false" outlineLevel="0" collapsed="false">
      <c r="A17" s="12" t="s">
        <v>52</v>
      </c>
      <c r="B17" s="28" t="n">
        <v>0</v>
      </c>
      <c r="C17" s="28" t="n">
        <v>0</v>
      </c>
      <c r="D17" s="28" t="n">
        <v>0</v>
      </c>
      <c r="E17" s="28" t="n">
        <v>0</v>
      </c>
      <c r="F17" s="28" t="n">
        <v>0</v>
      </c>
      <c r="G17" s="28" t="n">
        <v>0</v>
      </c>
      <c r="H17" s="28" t="n">
        <v>0</v>
      </c>
      <c r="I17" s="28" t="n">
        <v>0</v>
      </c>
      <c r="J17" s="28" t="n">
        <v>0</v>
      </c>
      <c r="K17" s="28" t="n">
        <v>0</v>
      </c>
      <c r="L17" s="28" t="n">
        <v>0</v>
      </c>
      <c r="M17" s="8" t="n">
        <f aca="false">Forecast!M$7*INDEX('Churn Curve'!$C$4:$C$28,0+1)</f>
        <v>2544.41343276887</v>
      </c>
      <c r="N17" s="8" t="n">
        <f aca="false">Forecast!M$7*INDEX('Churn Curve'!$C$4:$C$28,1+1)</f>
        <v>2101.83138877713</v>
      </c>
      <c r="O17" s="8" t="n">
        <f aca="false">Forecast!M$7*INDEX('Churn Curve'!$C$4:$C$28,2+1)</f>
        <v>1835.40190334304</v>
      </c>
      <c r="P17" s="8" t="n">
        <f aca="false">Forecast!M$7*INDEX('Churn Curve'!$C$4:$C$28,3+1)</f>
        <v>1642.05863751566</v>
      </c>
      <c r="Q17" s="8" t="n">
        <f aca="false">Forecast!M$7*INDEX('Churn Curve'!$C$4:$C$28,4+1)</f>
        <v>1490.37058480572</v>
      </c>
      <c r="R17" s="8" t="n">
        <f aca="false">Forecast!M$7*INDEX('Churn Curve'!$C$4:$C$28,5+1)</f>
        <v>1366.02880500662</v>
      </c>
      <c r="S17" s="8" t="n">
        <f aca="false">Forecast!M$7*INDEX('Churn Curve'!$C$4:$C$28,6+1)</f>
        <v>1261.16248408883</v>
      </c>
      <c r="T17" s="8" t="n">
        <f aca="false">Forecast!M$7*INDEX('Churn Curve'!$C$4:$C$28,7+1)</f>
        <v>1170.92527109326</v>
      </c>
      <c r="U17" s="8" t="n">
        <f aca="false">Forecast!M$7*INDEX('Churn Curve'!$C$4:$C$28,8+1)</f>
        <v>1092.09914283172</v>
      </c>
      <c r="V17" s="8" t="n">
        <f aca="false">Forecast!M$7*INDEX('Churn Curve'!$C$4:$C$28,9+1)</f>
        <v>1022.42819794377</v>
      </c>
      <c r="W17" s="8" t="n">
        <f aca="false">Forecast!M$7*INDEX('Churn Curve'!$C$4:$C$28,10+1)</f>
        <v>960.26491679375</v>
      </c>
      <c r="X17" s="8" t="n">
        <f aca="false">Forecast!M$7*INDEX('Churn Curve'!$C$4:$C$28,11+1)</f>
        <v>904.366924994137</v>
      </c>
      <c r="Y17" s="8" t="n">
        <f aca="false">Forecast!M$7*INDEX('Churn Curve'!$C$4:$C$28,12+1)</f>
        <v>853.772909765782</v>
      </c>
    </row>
    <row r="18" customFormat="false" ht="15" hidden="false" customHeight="false" outlineLevel="0" collapsed="false">
      <c r="A18" s="12" t="s">
        <v>53</v>
      </c>
      <c r="B18" s="28" t="n">
        <v>0</v>
      </c>
      <c r="C18" s="28" t="n">
        <v>0</v>
      </c>
      <c r="D18" s="28" t="n">
        <v>0</v>
      </c>
      <c r="E18" s="28" t="n">
        <v>0</v>
      </c>
      <c r="F18" s="28" t="n">
        <v>0</v>
      </c>
      <c r="G18" s="28" t="n">
        <v>0</v>
      </c>
      <c r="H18" s="28" t="n">
        <v>0</v>
      </c>
      <c r="I18" s="28" t="n">
        <v>0</v>
      </c>
      <c r="J18" s="28" t="n">
        <v>0</v>
      </c>
      <c r="K18" s="28" t="n">
        <v>0</v>
      </c>
      <c r="L18" s="28" t="n">
        <v>0</v>
      </c>
      <c r="M18" s="28" t="n">
        <v>0</v>
      </c>
      <c r="N18" s="8" t="n">
        <f aca="false">Forecast!N$7*INDEX('Churn Curve'!$C$4:$C$28,0+1)</f>
        <v>2819.48027494324</v>
      </c>
      <c r="O18" s="8" t="n">
        <f aca="false">Forecast!N$7*INDEX('Churn Curve'!$C$4:$C$28,1+1)</f>
        <v>2329.05237238306</v>
      </c>
      <c r="P18" s="8" t="n">
        <f aca="false">Forecast!N$7*INDEX('Churn Curve'!$C$4:$C$28,2+1)</f>
        <v>2033.82021035693</v>
      </c>
      <c r="Q18" s="8" t="n">
        <f aca="false">Forecast!N$7*INDEX('Churn Curve'!$C$4:$C$28,3+1)</f>
        <v>1819.57534068565</v>
      </c>
      <c r="R18" s="8" t="n">
        <f aca="false">Forecast!N$7*INDEX('Churn Curve'!$C$4:$C$28,4+1)</f>
        <v>1651.48887051842</v>
      </c>
      <c r="S18" s="8" t="n">
        <f aca="false">Forecast!N$7*INDEX('Churn Curve'!$C$4:$C$28,5+1)</f>
        <v>1513.70497463896</v>
      </c>
      <c r="T18" s="8" t="n">
        <f aca="false">Forecast!N$7*INDEX('Churn Curve'!$C$4:$C$28,6+1)</f>
        <v>1397.50195530031</v>
      </c>
      <c r="U18" s="8" t="n">
        <f aca="false">Forecast!N$7*INDEX('Churn Curve'!$C$4:$C$28,7+1)</f>
        <v>1297.50954100543</v>
      </c>
      <c r="V18" s="8" t="n">
        <f aca="false">Forecast!N$7*INDEX('Churn Curve'!$C$4:$C$28,8+1)</f>
        <v>1210.16182033974</v>
      </c>
      <c r="W18" s="8" t="n">
        <f aca="false">Forecast!N$7*INDEX('Churn Curve'!$C$4:$C$28,9+1)</f>
        <v>1132.95901504151</v>
      </c>
      <c r="X18" s="8" t="n">
        <f aca="false">Forecast!N$7*INDEX('Churn Curve'!$C$4:$C$28,10+1)</f>
        <v>1064.07549840424</v>
      </c>
      <c r="Y18" s="8" t="n">
        <f aca="false">Forecast!N$7*INDEX('Churn Curve'!$C$4:$C$28,11+1)</f>
        <v>1002.13458767872</v>
      </c>
    </row>
    <row r="19" customFormat="false" ht="15" hidden="false" customHeight="false" outlineLevel="0" collapsed="false">
      <c r="A19" s="12" t="s">
        <v>54</v>
      </c>
      <c r="B19" s="28" t="n">
        <v>0</v>
      </c>
      <c r="C19" s="28" t="n">
        <v>0</v>
      </c>
      <c r="D19" s="28" t="n">
        <v>0</v>
      </c>
      <c r="E19" s="28" t="n">
        <v>0</v>
      </c>
      <c r="F19" s="28" t="n">
        <v>0</v>
      </c>
      <c r="G19" s="28" t="n">
        <v>0</v>
      </c>
      <c r="H19" s="28" t="n">
        <v>0</v>
      </c>
      <c r="I19" s="28" t="n">
        <v>0</v>
      </c>
      <c r="J19" s="28" t="n">
        <v>0</v>
      </c>
      <c r="K19" s="28" t="n">
        <v>0</v>
      </c>
      <c r="L19" s="28" t="n">
        <v>0</v>
      </c>
      <c r="M19" s="28" t="n">
        <v>0</v>
      </c>
      <c r="N19" s="28" t="n">
        <v>0</v>
      </c>
      <c r="O19" s="8" t="n">
        <f aca="false">Forecast!O$7*INDEX('Churn Curve'!$C$4:$C$28,0+1)</f>
        <v>2608.93540811097</v>
      </c>
      <c r="P19" s="8" t="n">
        <f aca="false">Forecast!O$7*INDEX('Churn Curve'!$C$4:$C$28,1+1)</f>
        <v>2155.13024001466</v>
      </c>
      <c r="Q19" s="8" t="n">
        <f aca="false">Forecast!O$7*INDEX('Churn Curve'!$C$4:$C$28,2+1)</f>
        <v>1881.94455825328</v>
      </c>
      <c r="R19" s="8" t="n">
        <f aca="false">Forecast!O$7*INDEX('Churn Curve'!$C$4:$C$28,3+1)</f>
        <v>1683.69843769733</v>
      </c>
      <c r="S19" s="8" t="n">
        <f aca="false">Forecast!O$7*INDEX('Churn Curve'!$C$4:$C$28,4+1)</f>
        <v>1528.16383525983</v>
      </c>
      <c r="T19" s="8" t="n">
        <f aca="false">Forecast!O$7*INDEX('Churn Curve'!$C$4:$C$28,5+1)</f>
        <v>1400.66896046961</v>
      </c>
      <c r="U19" s="8" t="n">
        <f aca="false">Forecast!O$7*INDEX('Churn Curve'!$C$4:$C$28,6+1)</f>
        <v>1293.14340890741</v>
      </c>
      <c r="V19" s="8" t="n">
        <f aca="false">Forecast!O$7*INDEX('Churn Curve'!$C$4:$C$28,7+1)</f>
        <v>1200.61793443795</v>
      </c>
      <c r="W19" s="8" t="n">
        <f aca="false">Forecast!O$7*INDEX('Churn Curve'!$C$4:$C$28,8+1)</f>
        <v>1119.79291030576</v>
      </c>
      <c r="X19" s="8" t="n">
        <f aca="false">Forecast!O$7*INDEX('Churn Curve'!$C$4:$C$28,9+1)</f>
        <v>1048.35522934802</v>
      </c>
      <c r="Y19" s="8" t="n">
        <f aca="false">Forecast!O$7*INDEX('Churn Curve'!$C$4:$C$28,10+1)</f>
        <v>984.615593647326</v>
      </c>
    </row>
    <row r="20" customFormat="false" ht="15" hidden="false" customHeight="false" outlineLevel="0" collapsed="false">
      <c r="A20" s="12" t="s">
        <v>55</v>
      </c>
      <c r="B20" s="28" t="n">
        <v>0</v>
      </c>
      <c r="C20" s="28" t="n">
        <v>0</v>
      </c>
      <c r="D20" s="28" t="n">
        <v>0</v>
      </c>
      <c r="E20" s="28" t="n">
        <v>0</v>
      </c>
      <c r="F20" s="28" t="n">
        <v>0</v>
      </c>
      <c r="G20" s="28" t="n">
        <v>0</v>
      </c>
      <c r="H20" s="28" t="n">
        <v>0</v>
      </c>
      <c r="I20" s="28" t="n">
        <v>0</v>
      </c>
      <c r="J20" s="28" t="n">
        <v>0</v>
      </c>
      <c r="K20" s="28" t="n">
        <v>0</v>
      </c>
      <c r="L20" s="28" t="n">
        <v>0</v>
      </c>
      <c r="M20" s="28" t="n">
        <v>0</v>
      </c>
      <c r="N20" s="28" t="n">
        <v>0</v>
      </c>
      <c r="O20" s="28" t="n">
        <v>0</v>
      </c>
      <c r="P20" s="8" t="n">
        <f aca="false">Forecast!P$7*INDEX('Churn Curve'!$C$4:$C$28,0+1)</f>
        <v>2641.80738960953</v>
      </c>
      <c r="Q20" s="8" t="n">
        <f aca="false">Forecast!P$7*INDEX('Churn Curve'!$C$4:$C$28,1+1)</f>
        <v>2182.28438156853</v>
      </c>
      <c r="R20" s="8" t="n">
        <f aca="false">Forecast!P$7*INDEX('Churn Curve'!$C$4:$C$28,2+1)</f>
        <v>1905.65662353014</v>
      </c>
      <c r="S20" s="8" t="n">
        <f aca="false">Forecast!P$7*INDEX('Churn Curve'!$C$4:$C$28,3+1)</f>
        <v>1704.91264780046</v>
      </c>
      <c r="T20" s="8" t="n">
        <f aca="false">Forecast!P$7*INDEX('Churn Curve'!$C$4:$C$28,4+1)</f>
        <v>1547.41834541875</v>
      </c>
      <c r="U20" s="8" t="n">
        <f aca="false">Forecast!P$7*INDEX('Churn Curve'!$C$4:$C$28,5+1)</f>
        <v>1418.31706475422</v>
      </c>
      <c r="V20" s="8" t="n">
        <f aca="false">Forecast!P$7*INDEX('Churn Curve'!$C$4:$C$28,6+1)</f>
        <v>1309.43671616233</v>
      </c>
      <c r="W20" s="8" t="n">
        <f aca="false">Forecast!P$7*INDEX('Churn Curve'!$C$4:$C$28,7+1)</f>
        <v>1215.74544215814</v>
      </c>
      <c r="X20" s="8" t="n">
        <f aca="false">Forecast!P$7*INDEX('Churn Curve'!$C$4:$C$28,8+1)</f>
        <v>1133.90204145379</v>
      </c>
      <c r="Y20" s="8" t="n">
        <f aca="false">Forecast!P$7*INDEX('Churn Curve'!$C$4:$C$28,9+1)</f>
        <v>1061.56426227229</v>
      </c>
    </row>
    <row r="21" customFormat="false" ht="15" hidden="false" customHeight="false" outlineLevel="0" collapsed="false">
      <c r="A21" s="12" t="s">
        <v>56</v>
      </c>
      <c r="B21" s="28" t="n">
        <v>0</v>
      </c>
      <c r="C21" s="28" t="n">
        <v>0</v>
      </c>
      <c r="D21" s="28" t="n">
        <v>0</v>
      </c>
      <c r="E21" s="28" t="n">
        <v>0</v>
      </c>
      <c r="F21" s="28" t="n">
        <v>0</v>
      </c>
      <c r="G21" s="28" t="n">
        <v>0</v>
      </c>
      <c r="H21" s="28" t="n">
        <v>0</v>
      </c>
      <c r="I21" s="28" t="n">
        <v>0</v>
      </c>
      <c r="J21" s="28" t="n">
        <v>0</v>
      </c>
      <c r="K21" s="28" t="n">
        <v>0</v>
      </c>
      <c r="L21" s="28" t="n">
        <v>0</v>
      </c>
      <c r="M21" s="28" t="n">
        <v>0</v>
      </c>
      <c r="N21" s="28" t="n">
        <v>0</v>
      </c>
      <c r="O21" s="28" t="n">
        <v>0</v>
      </c>
      <c r="P21" s="28" t="n">
        <v>0</v>
      </c>
      <c r="Q21" s="8" t="n">
        <f aca="false">Forecast!Q$7*INDEX('Churn Curve'!$C$4:$C$28,0+1)</f>
        <v>2675.09355045661</v>
      </c>
      <c r="R21" s="8" t="n">
        <f aca="false">Forecast!Q$7*INDEX('Churn Curve'!$C$4:$C$28,1+1)</f>
        <v>2209.78065901277</v>
      </c>
      <c r="S21" s="8" t="n">
        <f aca="false">Forecast!Q$7*INDEX('Churn Curve'!$C$4:$C$28,2+1)</f>
        <v>1929.667455334</v>
      </c>
      <c r="T21" s="8" t="n">
        <f aca="false">Forecast!Q$7*INDEX('Churn Curve'!$C$4:$C$28,3+1)</f>
        <v>1726.3941520343</v>
      </c>
      <c r="U21" s="8" t="n">
        <f aca="false">Forecast!Q$7*INDEX('Churn Curve'!$C$4:$C$28,4+1)</f>
        <v>1566.91545794327</v>
      </c>
      <c r="V21" s="8" t="n">
        <f aca="false">Forecast!Q$7*INDEX('Churn Curve'!$C$4:$C$28,5+1)</f>
        <v>1436.18753106272</v>
      </c>
      <c r="W21" s="8" t="n">
        <f aca="false">Forecast!Q$7*INDEX('Churn Curve'!$C$4:$C$28,6+1)</f>
        <v>1325.93531531254</v>
      </c>
      <c r="X21" s="8" t="n">
        <f aca="false">Forecast!Q$7*INDEX('Churn Curve'!$C$4:$C$28,7+1)</f>
        <v>1231.06355296968</v>
      </c>
      <c r="Y21" s="8" t="n">
        <f aca="false">Forecast!Q$7*INDEX('Churn Curve'!$C$4:$C$28,8+1)</f>
        <v>1148.18894438438</v>
      </c>
    </row>
    <row r="22" customFormat="false" ht="15" hidden="false" customHeight="false" outlineLevel="0" collapsed="false">
      <c r="A22" s="12" t="s">
        <v>57</v>
      </c>
      <c r="B22" s="28" t="n">
        <v>0</v>
      </c>
      <c r="C22" s="28" t="n">
        <v>0</v>
      </c>
      <c r="D22" s="28" t="n">
        <v>0</v>
      </c>
      <c r="E22" s="28" t="n">
        <v>0</v>
      </c>
      <c r="F22" s="28" t="n">
        <v>0</v>
      </c>
      <c r="G22" s="28" t="n">
        <v>0</v>
      </c>
      <c r="H22" s="28" t="n">
        <v>0</v>
      </c>
      <c r="I22" s="28" t="n">
        <v>0</v>
      </c>
      <c r="J22" s="28" t="n">
        <v>0</v>
      </c>
      <c r="K22" s="28" t="n">
        <v>0</v>
      </c>
      <c r="L22" s="28" t="n">
        <v>0</v>
      </c>
      <c r="M22" s="28" t="n">
        <v>0</v>
      </c>
      <c r="N22" s="28" t="n">
        <v>0</v>
      </c>
      <c r="O22" s="28" t="n">
        <v>0</v>
      </c>
      <c r="P22" s="28" t="n">
        <v>0</v>
      </c>
      <c r="Q22" s="28" t="n">
        <v>0</v>
      </c>
      <c r="R22" s="8" t="n">
        <f aca="false">Forecast!R$7*INDEX('Churn Curve'!$C$4:$C$28,0+1)</f>
        <v>2708.799109216</v>
      </c>
      <c r="S22" s="8" t="n">
        <f aca="false">Forecast!R$7*INDEX('Churn Curve'!$C$4:$C$28,1+1)</f>
        <v>2237.62338318031</v>
      </c>
      <c r="T22" s="8" t="n">
        <f aca="false">Forecast!R$7*INDEX('Churn Curve'!$C$4:$C$28,2+1)</f>
        <v>1953.98081805387</v>
      </c>
      <c r="U22" s="8" t="n">
        <f aca="false">Forecast!R$7*INDEX('Churn Curve'!$C$4:$C$28,3+1)</f>
        <v>1748.14631824296</v>
      </c>
      <c r="V22" s="8" t="n">
        <f aca="false">Forecast!R$7*INDEX('Churn Curve'!$C$4:$C$28,4+1)</f>
        <v>1586.65822956697</v>
      </c>
      <c r="W22" s="8" t="n">
        <f aca="false">Forecast!R$7*INDEX('Churn Curve'!$C$4:$C$28,5+1)</f>
        <v>1454.28316110507</v>
      </c>
      <c r="X22" s="8" t="n">
        <f aca="false">Forecast!R$7*INDEX('Churn Curve'!$C$4:$C$28,6+1)</f>
        <v>1342.64179298836</v>
      </c>
      <c r="Y22" s="8" t="n">
        <f aca="false">Forecast!R$7*INDEX('Churn Curve'!$C$4:$C$28,7+1)</f>
        <v>1246.57466842733</v>
      </c>
    </row>
    <row r="23" customFormat="false" ht="15" hidden="false" customHeight="false" outlineLevel="0" collapsed="false">
      <c r="A23" s="12" t="s">
        <v>58</v>
      </c>
      <c r="B23" s="28" t="n">
        <v>0</v>
      </c>
      <c r="C23" s="28" t="n">
        <v>0</v>
      </c>
      <c r="D23" s="28" t="n">
        <v>0</v>
      </c>
      <c r="E23" s="28" t="n">
        <v>0</v>
      </c>
      <c r="F23" s="28" t="n">
        <v>0</v>
      </c>
      <c r="G23" s="28" t="n">
        <v>0</v>
      </c>
      <c r="H23" s="28" t="n">
        <v>0</v>
      </c>
      <c r="I23" s="28" t="n">
        <v>0</v>
      </c>
      <c r="J23" s="28" t="n">
        <v>0</v>
      </c>
      <c r="K23" s="28" t="n">
        <v>0</v>
      </c>
      <c r="L23" s="28" t="n">
        <v>0</v>
      </c>
      <c r="M23" s="28" t="n">
        <v>0</v>
      </c>
      <c r="N23" s="28" t="n">
        <v>0</v>
      </c>
      <c r="O23" s="28" t="n">
        <v>0</v>
      </c>
      <c r="P23" s="28" t="n">
        <v>0</v>
      </c>
      <c r="Q23" s="28" t="n">
        <v>0</v>
      </c>
      <c r="R23" s="28" t="n">
        <v>0</v>
      </c>
      <c r="S23" s="8" t="n">
        <f aca="false">Forecast!S$7*INDEX('Churn Curve'!$C$4:$C$28,0+1)</f>
        <v>2742.92935020419</v>
      </c>
      <c r="T23" s="8" t="n">
        <f aca="false">Forecast!S$7*INDEX('Churn Curve'!$C$4:$C$28,1+1)</f>
        <v>2265.81691921956</v>
      </c>
      <c r="U23" s="8" t="n">
        <f aca="false">Forecast!S$7*INDEX('Churn Curve'!$C$4:$C$28,2+1)</f>
        <v>1978.60052350918</v>
      </c>
      <c r="V23" s="8" t="n">
        <f aca="false">Forecast!S$7*INDEX('Churn Curve'!$C$4:$C$28,3+1)</f>
        <v>1770.1725567046</v>
      </c>
      <c r="W23" s="8" t="n">
        <f aca="false">Forecast!S$7*INDEX('Churn Curve'!$C$4:$C$28,4+1)</f>
        <v>1606.64975553757</v>
      </c>
      <c r="X23" s="8" t="n">
        <f aca="false">Forecast!S$7*INDEX('Churn Curve'!$C$4:$C$28,5+1)</f>
        <v>1472.60679189213</v>
      </c>
      <c r="Y23" s="8" t="n">
        <f aca="false">Forecast!S$7*INDEX('Churn Curve'!$C$4:$C$28,6+1)</f>
        <v>1359.55876841101</v>
      </c>
    </row>
    <row r="24" customFormat="false" ht="15" hidden="false" customHeight="false" outlineLevel="0" collapsed="false">
      <c r="A24" s="12" t="s">
        <v>59</v>
      </c>
      <c r="B24" s="28" t="n">
        <v>0</v>
      </c>
      <c r="C24" s="28" t="n">
        <v>0</v>
      </c>
      <c r="D24" s="28" t="n">
        <v>0</v>
      </c>
      <c r="E24" s="28" t="n">
        <v>0</v>
      </c>
      <c r="F24" s="28" t="n">
        <v>0</v>
      </c>
      <c r="G24" s="28" t="n">
        <v>0</v>
      </c>
      <c r="H24" s="28" t="n">
        <v>0</v>
      </c>
      <c r="I24" s="28" t="n">
        <v>0</v>
      </c>
      <c r="J24" s="28" t="n">
        <v>0</v>
      </c>
      <c r="K24" s="28" t="n">
        <v>0</v>
      </c>
      <c r="L24" s="28" t="n">
        <v>0</v>
      </c>
      <c r="M24" s="28" t="n">
        <v>0</v>
      </c>
      <c r="N24" s="28" t="n">
        <v>0</v>
      </c>
      <c r="O24" s="28" t="n">
        <v>0</v>
      </c>
      <c r="P24" s="28" t="n">
        <v>0</v>
      </c>
      <c r="Q24" s="28" t="n">
        <v>0</v>
      </c>
      <c r="R24" s="28" t="n">
        <v>0</v>
      </c>
      <c r="S24" s="28" t="n">
        <v>0</v>
      </c>
      <c r="T24" s="8" t="n">
        <f aca="false">Forecast!T$7*INDEX('Churn Curve'!$C$4:$C$28,0+1)</f>
        <v>2777.48962431886</v>
      </c>
      <c r="U24" s="8" t="n">
        <f aca="false">Forecast!T$7*INDEX('Churn Curve'!$C$4:$C$28,1+1)</f>
        <v>2294.3656872788</v>
      </c>
      <c r="V24" s="8" t="n">
        <f aca="false">Forecast!T$7*INDEX('Churn Curve'!$C$4:$C$28,2+1)</f>
        <v>2003.53043154739</v>
      </c>
      <c r="W24" s="8" t="n">
        <f aca="false">Forecast!T$7*INDEX('Churn Curve'!$C$4:$C$28,3+1)</f>
        <v>1792.47632066608</v>
      </c>
      <c r="X24" s="8" t="n">
        <f aca="false">Forecast!T$7*INDEX('Churn Curve'!$C$4:$C$28,4+1)</f>
        <v>1626.89317010218</v>
      </c>
      <c r="Y24" s="8" t="n">
        <f aca="false">Forecast!T$7*INDEX('Churn Curve'!$C$4:$C$28,5+1)</f>
        <v>1491.16129618045</v>
      </c>
    </row>
    <row r="25" customFormat="false" ht="15" hidden="false" customHeight="false" outlineLevel="0" collapsed="false">
      <c r="A25" s="12" t="s">
        <v>60</v>
      </c>
      <c r="B25" s="28" t="n">
        <v>0</v>
      </c>
      <c r="C25" s="28" t="n">
        <v>0</v>
      </c>
      <c r="D25" s="28" t="n">
        <v>0</v>
      </c>
      <c r="E25" s="28" t="n">
        <v>0</v>
      </c>
      <c r="F25" s="28" t="n">
        <v>0</v>
      </c>
      <c r="G25" s="28" t="n">
        <v>0</v>
      </c>
      <c r="H25" s="28" t="n">
        <v>0</v>
      </c>
      <c r="I25" s="28" t="n">
        <v>0</v>
      </c>
      <c r="J25" s="28" t="n">
        <v>0</v>
      </c>
      <c r="K25" s="28" t="n">
        <v>0</v>
      </c>
      <c r="L25" s="28" t="n">
        <v>0</v>
      </c>
      <c r="M25" s="28" t="n">
        <v>0</v>
      </c>
      <c r="N25" s="28" t="n">
        <v>0</v>
      </c>
      <c r="O25" s="28" t="n">
        <v>0</v>
      </c>
      <c r="P25" s="28" t="n">
        <v>0</v>
      </c>
      <c r="Q25" s="28" t="n">
        <v>0</v>
      </c>
      <c r="R25" s="28" t="n">
        <v>0</v>
      </c>
      <c r="S25" s="28" t="n">
        <v>0</v>
      </c>
      <c r="T25" s="28" t="n">
        <v>0</v>
      </c>
      <c r="U25" s="8" t="n">
        <f aca="false">Forecast!U$7*INDEX('Churn Curve'!$C$4:$C$28,0+1)</f>
        <v>2812.48534987772</v>
      </c>
      <c r="V25" s="8" t="n">
        <f aca="false">Forecast!U$7*INDEX('Churn Curve'!$C$4:$C$28,1+1)</f>
        <v>2323.27416319917</v>
      </c>
      <c r="W25" s="8" t="n">
        <f aca="false">Forecast!U$7*INDEX('Churn Curve'!$C$4:$C$28,2+1)</f>
        <v>2028.77445064916</v>
      </c>
      <c r="X25" s="8" t="n">
        <f aca="false">Forecast!U$7*INDEX('Churn Curve'!$C$4:$C$28,3+1)</f>
        <v>1815.06110688438</v>
      </c>
      <c r="Y25" s="8" t="n">
        <f aca="false">Forecast!U$7*INDEX('Churn Curve'!$C$4:$C$28,4+1)</f>
        <v>1647.39164699873</v>
      </c>
    </row>
    <row r="26" customFormat="false" ht="15" hidden="false" customHeight="false" outlineLevel="0" collapsed="false">
      <c r="A26" s="12" t="s">
        <v>61</v>
      </c>
      <c r="B26" s="28" t="n">
        <v>0</v>
      </c>
      <c r="C26" s="28" t="n">
        <v>0</v>
      </c>
      <c r="D26" s="28" t="n">
        <v>0</v>
      </c>
      <c r="E26" s="28" t="n">
        <v>0</v>
      </c>
      <c r="F26" s="28" t="n">
        <v>0</v>
      </c>
      <c r="G26" s="28" t="n">
        <v>0</v>
      </c>
      <c r="H26" s="28" t="n">
        <v>0</v>
      </c>
      <c r="I26" s="28" t="n">
        <v>0</v>
      </c>
      <c r="J26" s="28" t="n">
        <v>0</v>
      </c>
      <c r="K26" s="28" t="n">
        <v>0</v>
      </c>
      <c r="L26" s="28" t="n">
        <v>0</v>
      </c>
      <c r="M26" s="28" t="n">
        <v>0</v>
      </c>
      <c r="N26" s="28" t="n">
        <v>0</v>
      </c>
      <c r="O26" s="28" t="n">
        <v>0</v>
      </c>
      <c r="P26" s="28" t="n">
        <v>0</v>
      </c>
      <c r="Q26" s="28" t="n">
        <v>0</v>
      </c>
      <c r="R26" s="28" t="n">
        <v>0</v>
      </c>
      <c r="S26" s="28" t="n">
        <v>0</v>
      </c>
      <c r="T26" s="28" t="n">
        <v>0</v>
      </c>
      <c r="U26" s="28" t="n">
        <v>0</v>
      </c>
      <c r="V26" s="8" t="n">
        <f aca="false">Forecast!V$7*INDEX('Churn Curve'!$C$4:$C$28,0+1)</f>
        <v>2847.92201346807</v>
      </c>
      <c r="W26" s="8" t="n">
        <f aca="false">Forecast!V$7*INDEX('Churn Curve'!$C$4:$C$28,1+1)</f>
        <v>2352.54687921634</v>
      </c>
      <c r="X26" s="8" t="n">
        <f aca="false">Forecast!V$7*INDEX('Churn Curve'!$C$4:$C$28,2+1)</f>
        <v>2054.33653854108</v>
      </c>
      <c r="Y26" s="8" t="n">
        <f aca="false">Forecast!V$7*INDEX('Churn Curve'!$C$4:$C$28,3+1)</f>
        <v>1837.93045617482</v>
      </c>
    </row>
    <row r="27" customFormat="false" ht="15" hidden="false" customHeight="false" outlineLevel="0" collapsed="false">
      <c r="A27" s="12" t="s">
        <v>62</v>
      </c>
      <c r="B27" s="28" t="n">
        <v>0</v>
      </c>
      <c r="C27" s="28" t="n">
        <v>0</v>
      </c>
      <c r="D27" s="28" t="n">
        <v>0</v>
      </c>
      <c r="E27" s="28" t="n">
        <v>0</v>
      </c>
      <c r="F27" s="28" t="n">
        <v>0</v>
      </c>
      <c r="G27" s="28" t="n">
        <v>0</v>
      </c>
      <c r="H27" s="28" t="n">
        <v>0</v>
      </c>
      <c r="I27" s="28" t="n">
        <v>0</v>
      </c>
      <c r="J27" s="28" t="n">
        <v>0</v>
      </c>
      <c r="K27" s="28" t="n">
        <v>0</v>
      </c>
      <c r="L27" s="28" t="n">
        <v>0</v>
      </c>
      <c r="M27" s="28" t="n">
        <v>0</v>
      </c>
      <c r="N27" s="28" t="n">
        <v>0</v>
      </c>
      <c r="O27" s="28" t="n">
        <v>0</v>
      </c>
      <c r="P27" s="28" t="n">
        <v>0</v>
      </c>
      <c r="Q27" s="28" t="n">
        <v>0</v>
      </c>
      <c r="R27" s="28" t="n">
        <v>0</v>
      </c>
      <c r="S27" s="28" t="n">
        <v>0</v>
      </c>
      <c r="T27" s="28" t="n">
        <v>0</v>
      </c>
      <c r="U27" s="28" t="n">
        <v>0</v>
      </c>
      <c r="V27" s="28" t="n">
        <v>0</v>
      </c>
      <c r="W27" s="8" t="n">
        <f aca="false">Forecast!W$7*INDEX('Churn Curve'!$C$4:$C$28,0+1)</f>
        <v>2883.80517080689</v>
      </c>
      <c r="X27" s="8" t="n">
        <f aca="false">Forecast!W$7*INDEX('Churn Curve'!$C$4:$C$28,1+1)</f>
        <v>2382.18842467112</v>
      </c>
      <c r="Y27" s="8" t="n">
        <f aca="false">Forecast!W$7*INDEX('Churn Curve'!$C$4:$C$28,2+1)</f>
        <v>2080.22070281621</v>
      </c>
    </row>
    <row r="28" customFormat="false" ht="15" hidden="false" customHeight="false" outlineLevel="0" collapsed="false">
      <c r="A28" s="12" t="s">
        <v>63</v>
      </c>
      <c r="B28" s="28" t="n">
        <v>0</v>
      </c>
      <c r="C28" s="28" t="n">
        <v>0</v>
      </c>
      <c r="D28" s="28" t="n">
        <v>0</v>
      </c>
      <c r="E28" s="28" t="n">
        <v>0</v>
      </c>
      <c r="F28" s="28" t="n">
        <v>0</v>
      </c>
      <c r="G28" s="28" t="n">
        <v>0</v>
      </c>
      <c r="H28" s="28" t="n">
        <v>0</v>
      </c>
      <c r="I28" s="28" t="n">
        <v>0</v>
      </c>
      <c r="J28" s="28" t="n">
        <v>0</v>
      </c>
      <c r="K28" s="28" t="n">
        <v>0</v>
      </c>
      <c r="L28" s="28" t="n">
        <v>0</v>
      </c>
      <c r="M28" s="28" t="n">
        <v>0</v>
      </c>
      <c r="N28" s="28" t="n">
        <v>0</v>
      </c>
      <c r="O28" s="28" t="n">
        <v>0</v>
      </c>
      <c r="P28" s="28" t="n">
        <v>0</v>
      </c>
      <c r="Q28" s="28" t="n">
        <v>0</v>
      </c>
      <c r="R28" s="28" t="n">
        <v>0</v>
      </c>
      <c r="S28" s="28" t="n">
        <v>0</v>
      </c>
      <c r="T28" s="28" t="n">
        <v>0</v>
      </c>
      <c r="U28" s="28" t="n">
        <v>0</v>
      </c>
      <c r="V28" s="28" t="n">
        <v>0</v>
      </c>
      <c r="W28" s="28" t="n">
        <v>0</v>
      </c>
      <c r="X28" s="8" t="n">
        <f aca="false">Forecast!X$7*INDEX('Churn Curve'!$C$4:$C$28,0+1)</f>
        <v>2920.14044761194</v>
      </c>
      <c r="Y28" s="8" t="n">
        <f aca="false">Forecast!X$7*INDEX('Churn Curve'!$C$4:$C$28,1+1)</f>
        <v>2412.20344672894</v>
      </c>
    </row>
    <row r="29" customFormat="false" ht="15" hidden="false" customHeight="false" outlineLevel="0" collapsed="false">
      <c r="A29" s="12" t="s">
        <v>64</v>
      </c>
      <c r="B29" s="28" t="n">
        <v>0</v>
      </c>
      <c r="C29" s="28" t="n">
        <v>0</v>
      </c>
      <c r="D29" s="28" t="n">
        <v>0</v>
      </c>
      <c r="E29" s="28" t="n">
        <v>0</v>
      </c>
      <c r="F29" s="28" t="n">
        <v>0</v>
      </c>
      <c r="G29" s="28" t="n">
        <v>0</v>
      </c>
      <c r="H29" s="28" t="n">
        <v>0</v>
      </c>
      <c r="I29" s="28" t="n">
        <v>0</v>
      </c>
      <c r="J29" s="28" t="n">
        <v>0</v>
      </c>
      <c r="K29" s="28" t="n">
        <v>0</v>
      </c>
      <c r="L29" s="28" t="n">
        <v>0</v>
      </c>
      <c r="M29" s="28" t="n">
        <v>0</v>
      </c>
      <c r="N29" s="28" t="n">
        <v>0</v>
      </c>
      <c r="O29" s="28" t="n">
        <v>0</v>
      </c>
      <c r="P29" s="28" t="n">
        <v>0</v>
      </c>
      <c r="Q29" s="28" t="n">
        <v>0</v>
      </c>
      <c r="R29" s="28" t="n">
        <v>0</v>
      </c>
      <c r="S29" s="28" t="n">
        <v>0</v>
      </c>
      <c r="T29" s="28" t="n">
        <v>0</v>
      </c>
      <c r="U29" s="28" t="n">
        <v>0</v>
      </c>
      <c r="V29" s="28" t="n">
        <v>0</v>
      </c>
      <c r="W29" s="28" t="n">
        <v>0</v>
      </c>
      <c r="X29" s="28" t="n">
        <v>0</v>
      </c>
      <c r="Y29" s="8" t="n">
        <f aca="false">Forecast!Y$7*INDEX('Churn Curve'!$C$4:$C$28,0+1)</f>
        <v>2956.93354048372</v>
      </c>
    </row>
    <row r="30" customFormat="false" ht="15" hidden="false" customHeight="false" outlineLevel="0" collapsed="false">
      <c r="A30" s="5" t="s">
        <v>82</v>
      </c>
      <c r="B30" s="29" t="n">
        <f aca="false">SUM(B6:B29)</f>
        <v>2629.7586014825</v>
      </c>
      <c r="C30" s="29" t="n">
        <f aca="false">SUM(C6:C29)</f>
        <v>4417.29571260229</v>
      </c>
      <c r="D30" s="29" t="n">
        <f aca="false">SUM(D6:D29)</f>
        <v>6024.68488439635</v>
      </c>
      <c r="E30" s="29" t="n">
        <f aca="false">SUM(E6:E29)</f>
        <v>7496.26032352907</v>
      </c>
      <c r="F30" s="29" t="n">
        <f aca="false">SUM(F6:F29)</f>
        <v>8861.35856600626</v>
      </c>
      <c r="G30" s="29" t="n">
        <f aca="false">SUM(G6:G29)</f>
        <v>10140.0595387326</v>
      </c>
      <c r="H30" s="29" t="n">
        <f aca="false">SUM(H6:H29)</f>
        <v>11346.9116452473</v>
      </c>
      <c r="I30" s="29" t="n">
        <f aca="false">SUM(I6:I29)</f>
        <v>12492.930495664</v>
      </c>
      <c r="J30" s="29" t="n">
        <f aca="false">SUM(J6:J29)</f>
        <v>13586.7405612959</v>
      </c>
      <c r="K30" s="29" t="n">
        <f aca="false">SUM(K6:K29)</f>
        <v>14635.2719819312</v>
      </c>
      <c r="L30" s="29" t="n">
        <f aca="false">SUM(L6:L29)</f>
        <v>15644.2099740129</v>
      </c>
      <c r="M30" s="29" t="n">
        <f aca="false">SUM(M6:M29)</f>
        <v>16618.2979508115</v>
      </c>
      <c r="N30" s="29" t="n">
        <f aca="false">SUM(N6:N29)</f>
        <v>17804.5574210659</v>
      </c>
      <c r="O30" s="29" t="n">
        <f aca="false">SUM(O6:O29)</f>
        <v>18678.1402207812</v>
      </c>
      <c r="P30" s="29" t="n">
        <f aca="false">SUM(P6:P29)</f>
        <v>19544.120588252</v>
      </c>
      <c r="Q30" s="29" t="n">
        <f aca="false">SUM(Q6:Q29)</f>
        <v>20395.2502463073</v>
      </c>
      <c r="R30" s="29" t="n">
        <f aca="false">SUM(R6:R29)</f>
        <v>21230.8103874127</v>
      </c>
      <c r="S30" s="29" t="n">
        <f aca="false">SUM(S6:S29)</f>
        <v>22051.4569041277</v>
      </c>
      <c r="T30" s="29" t="n">
        <f aca="false">SUM(T6:T29)</f>
        <v>22858.2409812009</v>
      </c>
      <c r="U30" s="29" t="n">
        <f aca="false">SUM(U6:U29)</f>
        <v>23652.3160241007</v>
      </c>
      <c r="V30" s="29" t="n">
        <f aca="false">SUM(V6:V29)</f>
        <v>24434.8311222177</v>
      </c>
      <c r="W30" s="29" t="n">
        <f aca="false">SUM(W6:W29)</f>
        <v>25206.8894417805</v>
      </c>
      <c r="X30" s="29" t="n">
        <f aca="false">SUM(X6:X29)</f>
        <v>25969.532696497</v>
      </c>
      <c r="Y30" s="29" t="n">
        <f aca="false">SUM(Y6:Y29)</f>
        <v>26723.7369960982</v>
      </c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customFormat="false" ht="15" hidden="false" customHeight="false" outlineLevel="0" collapsed="false">
      <c r="A33" s="5" t="s">
        <v>83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customFormat="false" ht="15" hidden="false" customHeight="false" outlineLevel="0" collapsed="false">
      <c r="A34" s="4" t="s">
        <v>81</v>
      </c>
      <c r="B34" s="4" t="s">
        <v>41</v>
      </c>
      <c r="C34" s="4" t="s">
        <v>42</v>
      </c>
      <c r="D34" s="4" t="s">
        <v>43</v>
      </c>
      <c r="E34" s="4" t="s">
        <v>44</v>
      </c>
      <c r="F34" s="4" t="s">
        <v>45</v>
      </c>
      <c r="G34" s="4" t="s">
        <v>46</v>
      </c>
      <c r="H34" s="4" t="s">
        <v>47</v>
      </c>
      <c r="I34" s="4" t="s">
        <v>48</v>
      </c>
      <c r="J34" s="4" t="s">
        <v>49</v>
      </c>
      <c r="K34" s="4" t="s">
        <v>50</v>
      </c>
      <c r="L34" s="4" t="s">
        <v>51</v>
      </c>
      <c r="M34" s="4" t="s">
        <v>52</v>
      </c>
      <c r="N34" s="4" t="s">
        <v>53</v>
      </c>
      <c r="O34" s="4" t="s">
        <v>54</v>
      </c>
      <c r="P34" s="4" t="s">
        <v>55</v>
      </c>
      <c r="Q34" s="4" t="s">
        <v>56</v>
      </c>
      <c r="R34" s="4" t="s">
        <v>57</v>
      </c>
      <c r="S34" s="4" t="s">
        <v>58</v>
      </c>
      <c r="T34" s="4" t="s">
        <v>59</v>
      </c>
      <c r="U34" s="4" t="s">
        <v>60</v>
      </c>
      <c r="V34" s="4" t="s">
        <v>61</v>
      </c>
      <c r="W34" s="4" t="s">
        <v>62</v>
      </c>
      <c r="X34" s="4" t="s">
        <v>63</v>
      </c>
      <c r="Y34" s="4" t="s">
        <v>64</v>
      </c>
    </row>
    <row r="35" customFormat="false" ht="15" hidden="false" customHeight="false" outlineLevel="0" collapsed="false">
      <c r="A35" s="12" t="s">
        <v>41</v>
      </c>
      <c r="B35" s="8" t="n">
        <f aca="false">Forecast!B$8*Inputs!$B$12^INT((1-1)/12)</f>
        <v>888.015767599297</v>
      </c>
      <c r="C35" s="8" t="n">
        <f aca="false">Forecast!B$8*Inputs!$B$12^INT((2-1)/12)</f>
        <v>888.015767599297</v>
      </c>
      <c r="D35" s="8" t="n">
        <f aca="false">Forecast!B$8*Inputs!$B$12^INT((3-1)/12)</f>
        <v>888.015767599297</v>
      </c>
      <c r="E35" s="8" t="n">
        <f aca="false">Forecast!B$8*Inputs!$B$12^INT((4-1)/12)</f>
        <v>888.015767599297</v>
      </c>
      <c r="F35" s="8" t="n">
        <f aca="false">Forecast!B$8*Inputs!$B$12^INT((5-1)/12)</f>
        <v>888.015767599297</v>
      </c>
      <c r="G35" s="8" t="n">
        <f aca="false">Forecast!B$8*Inputs!$B$12^INT((6-1)/12)</f>
        <v>888.015767599297</v>
      </c>
      <c r="H35" s="8" t="n">
        <f aca="false">Forecast!B$8*Inputs!$B$12^INT((7-1)/12)</f>
        <v>888.015767599297</v>
      </c>
      <c r="I35" s="8" t="n">
        <f aca="false">Forecast!B$8*Inputs!$B$12^INT((8-1)/12)</f>
        <v>888.015767599297</v>
      </c>
      <c r="J35" s="8" t="n">
        <f aca="false">Forecast!B$8*Inputs!$B$12^INT((9-1)/12)</f>
        <v>888.015767599297</v>
      </c>
      <c r="K35" s="8" t="n">
        <f aca="false">Forecast!B$8*Inputs!$B$12^INT((10-1)/12)</f>
        <v>888.015767599297</v>
      </c>
      <c r="L35" s="8" t="n">
        <f aca="false">Forecast!B$8*Inputs!$B$12^INT((11-1)/12)</f>
        <v>888.015767599297</v>
      </c>
      <c r="M35" s="8" t="n">
        <f aca="false">Forecast!B$8*Inputs!$B$12^INT((12-1)/12)</f>
        <v>888.015767599297</v>
      </c>
      <c r="N35" s="8" t="n">
        <f aca="false">Forecast!B$8*Inputs!$B$12^INT((13-1)/12)</f>
        <v>622.422714348784</v>
      </c>
      <c r="O35" s="8" t="n">
        <f aca="false">Forecast!B$8*Inputs!$B$12^INT((14-1)/12)</f>
        <v>622.422714348784</v>
      </c>
      <c r="P35" s="8" t="n">
        <f aca="false">Forecast!B$8*Inputs!$B$12^INT((15-1)/12)</f>
        <v>622.422714348784</v>
      </c>
      <c r="Q35" s="8" t="n">
        <f aca="false">Forecast!B$8*Inputs!$B$12^INT((16-1)/12)</f>
        <v>622.422714348784</v>
      </c>
      <c r="R35" s="8" t="n">
        <f aca="false">Forecast!B$8*Inputs!$B$12^INT((17-1)/12)</f>
        <v>622.422714348784</v>
      </c>
      <c r="S35" s="8" t="n">
        <f aca="false">Forecast!B$8*Inputs!$B$12^INT((18-1)/12)</f>
        <v>622.422714348784</v>
      </c>
      <c r="T35" s="8" t="n">
        <f aca="false">Forecast!B$8*Inputs!$B$12^INT((19-1)/12)</f>
        <v>622.422714348784</v>
      </c>
      <c r="U35" s="8" t="n">
        <f aca="false">Forecast!B$8*Inputs!$B$12^INT((20-1)/12)</f>
        <v>622.422714348784</v>
      </c>
      <c r="V35" s="8" t="n">
        <f aca="false">Forecast!B$8*Inputs!$B$12^INT((21-1)/12)</f>
        <v>622.422714348784</v>
      </c>
      <c r="W35" s="8" t="n">
        <f aca="false">Forecast!B$8*Inputs!$B$12^INT((22-1)/12)</f>
        <v>622.422714348784</v>
      </c>
      <c r="X35" s="8" t="n">
        <f aca="false">Forecast!B$8*Inputs!$B$12^INT((23-1)/12)</f>
        <v>622.422714348784</v>
      </c>
      <c r="Y35" s="8" t="n">
        <f aca="false">Forecast!B$8*Inputs!$B$12^INT((24-1)/12)</f>
        <v>622.422714348784</v>
      </c>
    </row>
    <row r="36" customFormat="false" ht="15" hidden="false" customHeight="false" outlineLevel="0" collapsed="false">
      <c r="A36" s="12" t="s">
        <v>42</v>
      </c>
      <c r="B36" s="28" t="n">
        <v>0</v>
      </c>
      <c r="C36" s="8" t="n">
        <f aca="false">Forecast!C$8*Inputs!$B$12^INT((2-2)/12)</f>
        <v>758.078598363672</v>
      </c>
      <c r="D36" s="8" t="n">
        <f aca="false">Forecast!C$8*Inputs!$B$12^INT((3-2)/12)</f>
        <v>758.078598363672</v>
      </c>
      <c r="E36" s="8" t="n">
        <f aca="false">Forecast!C$8*Inputs!$B$12^INT((4-2)/12)</f>
        <v>758.078598363672</v>
      </c>
      <c r="F36" s="8" t="n">
        <f aca="false">Forecast!C$8*Inputs!$B$12^INT((5-2)/12)</f>
        <v>758.078598363672</v>
      </c>
      <c r="G36" s="8" t="n">
        <f aca="false">Forecast!C$8*Inputs!$B$12^INT((6-2)/12)</f>
        <v>758.078598363672</v>
      </c>
      <c r="H36" s="8" t="n">
        <f aca="false">Forecast!C$8*Inputs!$B$12^INT((7-2)/12)</f>
        <v>758.078598363672</v>
      </c>
      <c r="I36" s="8" t="n">
        <f aca="false">Forecast!C$8*Inputs!$B$12^INT((8-2)/12)</f>
        <v>758.078598363672</v>
      </c>
      <c r="J36" s="8" t="n">
        <f aca="false">Forecast!C$8*Inputs!$B$12^INT((9-2)/12)</f>
        <v>758.078598363672</v>
      </c>
      <c r="K36" s="8" t="n">
        <f aca="false">Forecast!C$8*Inputs!$B$12^INT((10-2)/12)</f>
        <v>758.078598363672</v>
      </c>
      <c r="L36" s="8" t="n">
        <f aca="false">Forecast!C$8*Inputs!$B$12^INT((11-2)/12)</f>
        <v>758.078598363672</v>
      </c>
      <c r="M36" s="8" t="n">
        <f aca="false">Forecast!C$8*Inputs!$B$12^INT((12-2)/12)</f>
        <v>758.078598363672</v>
      </c>
      <c r="N36" s="8" t="n">
        <f aca="false">Forecast!C$8*Inputs!$B$12^INT((13-2)/12)</f>
        <v>758.078598363672</v>
      </c>
      <c r="O36" s="8" t="n">
        <f aca="false">Forecast!C$8*Inputs!$B$12^INT((14-2)/12)</f>
        <v>531.347928831092</v>
      </c>
      <c r="P36" s="8" t="n">
        <f aca="false">Forecast!C$8*Inputs!$B$12^INT((15-2)/12)</f>
        <v>531.347928831092</v>
      </c>
      <c r="Q36" s="8" t="n">
        <f aca="false">Forecast!C$8*Inputs!$B$12^INT((16-2)/12)</f>
        <v>531.347928831092</v>
      </c>
      <c r="R36" s="8" t="n">
        <f aca="false">Forecast!C$8*Inputs!$B$12^INT((17-2)/12)</f>
        <v>531.347928831092</v>
      </c>
      <c r="S36" s="8" t="n">
        <f aca="false">Forecast!C$8*Inputs!$B$12^INT((18-2)/12)</f>
        <v>531.347928831092</v>
      </c>
      <c r="T36" s="8" t="n">
        <f aca="false">Forecast!C$8*Inputs!$B$12^INT((19-2)/12)</f>
        <v>531.347928831092</v>
      </c>
      <c r="U36" s="8" t="n">
        <f aca="false">Forecast!C$8*Inputs!$B$12^INT((20-2)/12)</f>
        <v>531.347928831092</v>
      </c>
      <c r="V36" s="8" t="n">
        <f aca="false">Forecast!C$8*Inputs!$B$12^INT((21-2)/12)</f>
        <v>531.347928831092</v>
      </c>
      <c r="W36" s="8" t="n">
        <f aca="false">Forecast!C$8*Inputs!$B$12^INT((22-2)/12)</f>
        <v>531.347928831092</v>
      </c>
      <c r="X36" s="8" t="n">
        <f aca="false">Forecast!C$8*Inputs!$B$12^INT((23-2)/12)</f>
        <v>531.347928831092</v>
      </c>
      <c r="Y36" s="8" t="n">
        <f aca="false">Forecast!C$8*Inputs!$B$12^INT((24-2)/12)</f>
        <v>531.347928831092</v>
      </c>
    </row>
    <row r="37" customFormat="false" ht="15" hidden="false" customHeight="false" outlineLevel="0" collapsed="false">
      <c r="A37" s="12" t="s">
        <v>43</v>
      </c>
      <c r="B37" s="28" t="n">
        <v>0</v>
      </c>
      <c r="C37" s="28" t="n">
        <v>0</v>
      </c>
      <c r="D37" s="8" t="n">
        <f aca="false">Forecast!D$8*Inputs!$B$12^INT((3-3)/12)</f>
        <v>767.630213011698</v>
      </c>
      <c r="E37" s="8" t="n">
        <f aca="false">Forecast!D$8*Inputs!$B$12^INT((4-3)/12)</f>
        <v>767.630213011698</v>
      </c>
      <c r="F37" s="8" t="n">
        <f aca="false">Forecast!D$8*Inputs!$B$12^INT((5-3)/12)</f>
        <v>767.630213011698</v>
      </c>
      <c r="G37" s="8" t="n">
        <f aca="false">Forecast!D$8*Inputs!$B$12^INT((6-3)/12)</f>
        <v>767.630213011698</v>
      </c>
      <c r="H37" s="8" t="n">
        <f aca="false">Forecast!D$8*Inputs!$B$12^INT((7-3)/12)</f>
        <v>767.630213011698</v>
      </c>
      <c r="I37" s="8" t="n">
        <f aca="false">Forecast!D$8*Inputs!$B$12^INT((8-3)/12)</f>
        <v>767.630213011698</v>
      </c>
      <c r="J37" s="8" t="n">
        <f aca="false">Forecast!D$8*Inputs!$B$12^INT((9-3)/12)</f>
        <v>767.630213011698</v>
      </c>
      <c r="K37" s="8" t="n">
        <f aca="false">Forecast!D$8*Inputs!$B$12^INT((10-3)/12)</f>
        <v>767.630213011698</v>
      </c>
      <c r="L37" s="8" t="n">
        <f aca="false">Forecast!D$8*Inputs!$B$12^INT((11-3)/12)</f>
        <v>767.630213011698</v>
      </c>
      <c r="M37" s="8" t="n">
        <f aca="false">Forecast!D$8*Inputs!$B$12^INT((12-3)/12)</f>
        <v>767.630213011698</v>
      </c>
      <c r="N37" s="8" t="n">
        <f aca="false">Forecast!D$8*Inputs!$B$12^INT((13-3)/12)</f>
        <v>767.630213011698</v>
      </c>
      <c r="O37" s="8" t="n">
        <f aca="false">Forecast!D$8*Inputs!$B$12^INT((14-3)/12)</f>
        <v>767.630213011698</v>
      </c>
      <c r="P37" s="8" t="n">
        <f aca="false">Forecast!D$8*Inputs!$B$12^INT((15-3)/12)</f>
        <v>538.042789589826</v>
      </c>
      <c r="Q37" s="8" t="n">
        <f aca="false">Forecast!D$8*Inputs!$B$12^INT((16-3)/12)</f>
        <v>538.042789589826</v>
      </c>
      <c r="R37" s="8" t="n">
        <f aca="false">Forecast!D$8*Inputs!$B$12^INT((17-3)/12)</f>
        <v>538.042789589826</v>
      </c>
      <c r="S37" s="8" t="n">
        <f aca="false">Forecast!D$8*Inputs!$B$12^INT((18-3)/12)</f>
        <v>538.042789589826</v>
      </c>
      <c r="T37" s="8" t="n">
        <f aca="false">Forecast!D$8*Inputs!$B$12^INT((19-3)/12)</f>
        <v>538.042789589826</v>
      </c>
      <c r="U37" s="8" t="n">
        <f aca="false">Forecast!D$8*Inputs!$B$12^INT((20-3)/12)</f>
        <v>538.042789589826</v>
      </c>
      <c r="V37" s="8" t="n">
        <f aca="false">Forecast!D$8*Inputs!$B$12^INT((21-3)/12)</f>
        <v>538.042789589826</v>
      </c>
      <c r="W37" s="8" t="n">
        <f aca="false">Forecast!D$8*Inputs!$B$12^INT((22-3)/12)</f>
        <v>538.042789589826</v>
      </c>
      <c r="X37" s="8" t="n">
        <f aca="false">Forecast!D$8*Inputs!$B$12^INT((23-3)/12)</f>
        <v>538.042789589826</v>
      </c>
      <c r="Y37" s="8" t="n">
        <f aca="false">Forecast!D$8*Inputs!$B$12^INT((24-3)/12)</f>
        <v>538.042789589826</v>
      </c>
    </row>
    <row r="38" customFormat="false" ht="15" hidden="false" customHeight="false" outlineLevel="0" collapsed="false">
      <c r="A38" s="12" t="s">
        <v>44</v>
      </c>
      <c r="B38" s="28" t="n">
        <v>0</v>
      </c>
      <c r="C38" s="28" t="n">
        <v>0</v>
      </c>
      <c r="D38" s="28" t="n">
        <v>0</v>
      </c>
      <c r="E38" s="8" t="n">
        <f aca="false">Forecast!E$8*Inputs!$B$12^INT((4-4)/12)</f>
        <v>777.302175790619</v>
      </c>
      <c r="F38" s="8" t="n">
        <f aca="false">Forecast!E$8*Inputs!$B$12^INT((5-4)/12)</f>
        <v>777.302175790619</v>
      </c>
      <c r="G38" s="8" t="n">
        <f aca="false">Forecast!E$8*Inputs!$B$12^INT((6-4)/12)</f>
        <v>777.302175790619</v>
      </c>
      <c r="H38" s="8" t="n">
        <f aca="false">Forecast!E$8*Inputs!$B$12^INT((7-4)/12)</f>
        <v>777.302175790619</v>
      </c>
      <c r="I38" s="8" t="n">
        <f aca="false">Forecast!E$8*Inputs!$B$12^INT((8-4)/12)</f>
        <v>777.302175790619</v>
      </c>
      <c r="J38" s="8" t="n">
        <f aca="false">Forecast!E$8*Inputs!$B$12^INT((9-4)/12)</f>
        <v>777.302175790619</v>
      </c>
      <c r="K38" s="8" t="n">
        <f aca="false">Forecast!E$8*Inputs!$B$12^INT((10-4)/12)</f>
        <v>777.302175790619</v>
      </c>
      <c r="L38" s="8" t="n">
        <f aca="false">Forecast!E$8*Inputs!$B$12^INT((11-4)/12)</f>
        <v>777.302175790619</v>
      </c>
      <c r="M38" s="8" t="n">
        <f aca="false">Forecast!E$8*Inputs!$B$12^INT((12-4)/12)</f>
        <v>777.302175790619</v>
      </c>
      <c r="N38" s="8" t="n">
        <f aca="false">Forecast!E$8*Inputs!$B$12^INT((13-4)/12)</f>
        <v>777.302175790619</v>
      </c>
      <c r="O38" s="8" t="n">
        <f aca="false">Forecast!E$8*Inputs!$B$12^INT((14-4)/12)</f>
        <v>777.302175790619</v>
      </c>
      <c r="P38" s="8" t="n">
        <f aca="false">Forecast!E$8*Inputs!$B$12^INT((15-4)/12)</f>
        <v>777.302175790619</v>
      </c>
      <c r="Q38" s="8" t="n">
        <f aca="false">Forecast!E$8*Inputs!$B$12^INT((16-4)/12)</f>
        <v>544.822004042528</v>
      </c>
      <c r="R38" s="8" t="n">
        <f aca="false">Forecast!E$8*Inputs!$B$12^INT((17-4)/12)</f>
        <v>544.822004042528</v>
      </c>
      <c r="S38" s="8" t="n">
        <f aca="false">Forecast!E$8*Inputs!$B$12^INT((18-4)/12)</f>
        <v>544.822004042528</v>
      </c>
      <c r="T38" s="8" t="n">
        <f aca="false">Forecast!E$8*Inputs!$B$12^INT((19-4)/12)</f>
        <v>544.822004042528</v>
      </c>
      <c r="U38" s="8" t="n">
        <f aca="false">Forecast!E$8*Inputs!$B$12^INT((20-4)/12)</f>
        <v>544.822004042528</v>
      </c>
      <c r="V38" s="8" t="n">
        <f aca="false">Forecast!E$8*Inputs!$B$12^INT((21-4)/12)</f>
        <v>544.822004042528</v>
      </c>
      <c r="W38" s="8" t="n">
        <f aca="false">Forecast!E$8*Inputs!$B$12^INT((22-4)/12)</f>
        <v>544.822004042528</v>
      </c>
      <c r="X38" s="8" t="n">
        <f aca="false">Forecast!E$8*Inputs!$B$12^INT((23-4)/12)</f>
        <v>544.822004042528</v>
      </c>
      <c r="Y38" s="8" t="n">
        <f aca="false">Forecast!E$8*Inputs!$B$12^INT((24-4)/12)</f>
        <v>544.822004042528</v>
      </c>
    </row>
    <row r="39" customFormat="false" ht="15" hidden="false" customHeight="false" outlineLevel="0" collapsed="false">
      <c r="A39" s="12" t="s">
        <v>45</v>
      </c>
      <c r="B39" s="28" t="n">
        <v>0</v>
      </c>
      <c r="C39" s="28" t="n">
        <v>0</v>
      </c>
      <c r="D39" s="28" t="n">
        <v>0</v>
      </c>
      <c r="E39" s="28" t="n">
        <v>0</v>
      </c>
      <c r="F39" s="8" t="n">
        <f aca="false">Forecast!F$8*Inputs!$B$12^INT((5-5)/12)</f>
        <v>787.096003058992</v>
      </c>
      <c r="G39" s="8" t="n">
        <f aca="false">Forecast!F$8*Inputs!$B$12^INT((6-5)/12)</f>
        <v>787.096003058992</v>
      </c>
      <c r="H39" s="8" t="n">
        <f aca="false">Forecast!F$8*Inputs!$B$12^INT((7-5)/12)</f>
        <v>787.096003058992</v>
      </c>
      <c r="I39" s="8" t="n">
        <f aca="false">Forecast!F$8*Inputs!$B$12^INT((8-5)/12)</f>
        <v>787.096003058992</v>
      </c>
      <c r="J39" s="8" t="n">
        <f aca="false">Forecast!F$8*Inputs!$B$12^INT((9-5)/12)</f>
        <v>787.096003058992</v>
      </c>
      <c r="K39" s="8" t="n">
        <f aca="false">Forecast!F$8*Inputs!$B$12^INT((10-5)/12)</f>
        <v>787.096003058992</v>
      </c>
      <c r="L39" s="8" t="n">
        <f aca="false">Forecast!F$8*Inputs!$B$12^INT((11-5)/12)</f>
        <v>787.096003058992</v>
      </c>
      <c r="M39" s="8" t="n">
        <f aca="false">Forecast!F$8*Inputs!$B$12^INT((12-5)/12)</f>
        <v>787.096003058992</v>
      </c>
      <c r="N39" s="8" t="n">
        <f aca="false">Forecast!F$8*Inputs!$B$12^INT((13-5)/12)</f>
        <v>787.096003058992</v>
      </c>
      <c r="O39" s="8" t="n">
        <f aca="false">Forecast!F$8*Inputs!$B$12^INT((14-5)/12)</f>
        <v>787.096003058992</v>
      </c>
      <c r="P39" s="8" t="n">
        <f aca="false">Forecast!F$8*Inputs!$B$12^INT((15-5)/12)</f>
        <v>787.096003058992</v>
      </c>
      <c r="Q39" s="8" t="n">
        <f aca="false">Forecast!F$8*Inputs!$B$12^INT((16-5)/12)</f>
        <v>787.096003058992</v>
      </c>
      <c r="R39" s="8" t="n">
        <f aca="false">Forecast!F$8*Inputs!$B$12^INT((17-5)/12)</f>
        <v>551.686635026192</v>
      </c>
      <c r="S39" s="8" t="n">
        <f aca="false">Forecast!F$8*Inputs!$B$12^INT((18-5)/12)</f>
        <v>551.686635026192</v>
      </c>
      <c r="T39" s="8" t="n">
        <f aca="false">Forecast!F$8*Inputs!$B$12^INT((19-5)/12)</f>
        <v>551.686635026192</v>
      </c>
      <c r="U39" s="8" t="n">
        <f aca="false">Forecast!F$8*Inputs!$B$12^INT((20-5)/12)</f>
        <v>551.686635026192</v>
      </c>
      <c r="V39" s="8" t="n">
        <f aca="false">Forecast!F$8*Inputs!$B$12^INT((21-5)/12)</f>
        <v>551.686635026192</v>
      </c>
      <c r="W39" s="8" t="n">
        <f aca="false">Forecast!F$8*Inputs!$B$12^INT((22-5)/12)</f>
        <v>551.686635026192</v>
      </c>
      <c r="X39" s="8" t="n">
        <f aca="false">Forecast!F$8*Inputs!$B$12^INT((23-5)/12)</f>
        <v>551.686635026192</v>
      </c>
      <c r="Y39" s="8" t="n">
        <f aca="false">Forecast!F$8*Inputs!$B$12^INT((24-5)/12)</f>
        <v>551.686635026192</v>
      </c>
    </row>
    <row r="40" customFormat="false" ht="15" hidden="false" customHeight="false" outlineLevel="0" collapsed="false">
      <c r="A40" s="12" t="s">
        <v>46</v>
      </c>
      <c r="B40" s="28" t="n">
        <v>0</v>
      </c>
      <c r="C40" s="28" t="n">
        <v>0</v>
      </c>
      <c r="D40" s="28" t="n">
        <v>0</v>
      </c>
      <c r="E40" s="28" t="n">
        <v>0</v>
      </c>
      <c r="F40" s="28" t="n">
        <v>0</v>
      </c>
      <c r="G40" s="8" t="n">
        <f aca="false">Forecast!G$8*Inputs!$B$12^INT((6-6)/12)</f>
        <v>797.013230281141</v>
      </c>
      <c r="H40" s="8" t="n">
        <f aca="false">Forecast!G$8*Inputs!$B$12^INT((7-6)/12)</f>
        <v>797.013230281141</v>
      </c>
      <c r="I40" s="8" t="n">
        <f aca="false">Forecast!G$8*Inputs!$B$12^INT((8-6)/12)</f>
        <v>797.013230281141</v>
      </c>
      <c r="J40" s="8" t="n">
        <f aca="false">Forecast!G$8*Inputs!$B$12^INT((9-6)/12)</f>
        <v>797.013230281141</v>
      </c>
      <c r="K40" s="8" t="n">
        <f aca="false">Forecast!G$8*Inputs!$B$12^INT((10-6)/12)</f>
        <v>797.013230281141</v>
      </c>
      <c r="L40" s="8" t="n">
        <f aca="false">Forecast!G$8*Inputs!$B$12^INT((11-6)/12)</f>
        <v>797.013230281141</v>
      </c>
      <c r="M40" s="8" t="n">
        <f aca="false">Forecast!G$8*Inputs!$B$12^INT((12-6)/12)</f>
        <v>797.013230281141</v>
      </c>
      <c r="N40" s="8" t="n">
        <f aca="false">Forecast!G$8*Inputs!$B$12^INT((13-6)/12)</f>
        <v>797.013230281141</v>
      </c>
      <c r="O40" s="8" t="n">
        <f aca="false">Forecast!G$8*Inputs!$B$12^INT((14-6)/12)</f>
        <v>797.013230281141</v>
      </c>
      <c r="P40" s="8" t="n">
        <f aca="false">Forecast!G$8*Inputs!$B$12^INT((15-6)/12)</f>
        <v>797.013230281141</v>
      </c>
      <c r="Q40" s="8" t="n">
        <f aca="false">Forecast!G$8*Inputs!$B$12^INT((16-6)/12)</f>
        <v>797.013230281141</v>
      </c>
      <c r="R40" s="8" t="n">
        <f aca="false">Forecast!G$8*Inputs!$B$12^INT((17-6)/12)</f>
        <v>797.013230281141</v>
      </c>
      <c r="S40" s="8" t="n">
        <f aca="false">Forecast!G$8*Inputs!$B$12^INT((18-6)/12)</f>
        <v>558.637758769311</v>
      </c>
      <c r="T40" s="8" t="n">
        <f aca="false">Forecast!G$8*Inputs!$B$12^INT((19-6)/12)</f>
        <v>558.637758769311</v>
      </c>
      <c r="U40" s="8" t="n">
        <f aca="false">Forecast!G$8*Inputs!$B$12^INT((20-6)/12)</f>
        <v>558.637758769311</v>
      </c>
      <c r="V40" s="8" t="n">
        <f aca="false">Forecast!G$8*Inputs!$B$12^INT((21-6)/12)</f>
        <v>558.637758769311</v>
      </c>
      <c r="W40" s="8" t="n">
        <f aca="false">Forecast!G$8*Inputs!$B$12^INT((22-6)/12)</f>
        <v>558.637758769311</v>
      </c>
      <c r="X40" s="8" t="n">
        <f aca="false">Forecast!G$8*Inputs!$B$12^INT((23-6)/12)</f>
        <v>558.637758769311</v>
      </c>
      <c r="Y40" s="8" t="n">
        <f aca="false">Forecast!G$8*Inputs!$B$12^INT((24-6)/12)</f>
        <v>558.637758769311</v>
      </c>
    </row>
    <row r="41" customFormat="false" ht="15" hidden="false" customHeight="false" outlineLevel="0" collapsed="false">
      <c r="A41" s="12" t="s">
        <v>47</v>
      </c>
      <c r="B41" s="28" t="n">
        <v>0</v>
      </c>
      <c r="C41" s="28" t="n">
        <v>0</v>
      </c>
      <c r="D41" s="28" t="n">
        <v>0</v>
      </c>
      <c r="E41" s="28" t="n">
        <v>0</v>
      </c>
      <c r="F41" s="28" t="n">
        <v>0</v>
      </c>
      <c r="G41" s="28" t="n">
        <v>0</v>
      </c>
      <c r="H41" s="8" t="n">
        <f aca="false">Forecast!H$8*Inputs!$B$12^INT((7-7)/12)</f>
        <v>807.055412267885</v>
      </c>
      <c r="I41" s="8" t="n">
        <f aca="false">Forecast!H$8*Inputs!$B$12^INT((8-7)/12)</f>
        <v>807.055412267885</v>
      </c>
      <c r="J41" s="8" t="n">
        <f aca="false">Forecast!H$8*Inputs!$B$12^INT((9-7)/12)</f>
        <v>807.055412267885</v>
      </c>
      <c r="K41" s="8" t="n">
        <f aca="false">Forecast!H$8*Inputs!$B$12^INT((10-7)/12)</f>
        <v>807.055412267885</v>
      </c>
      <c r="L41" s="8" t="n">
        <f aca="false">Forecast!H$8*Inputs!$B$12^INT((11-7)/12)</f>
        <v>807.055412267885</v>
      </c>
      <c r="M41" s="8" t="n">
        <f aca="false">Forecast!H$8*Inputs!$B$12^INT((12-7)/12)</f>
        <v>807.055412267885</v>
      </c>
      <c r="N41" s="8" t="n">
        <f aca="false">Forecast!H$8*Inputs!$B$12^INT((13-7)/12)</f>
        <v>807.055412267885</v>
      </c>
      <c r="O41" s="8" t="n">
        <f aca="false">Forecast!H$8*Inputs!$B$12^INT((14-7)/12)</f>
        <v>807.055412267885</v>
      </c>
      <c r="P41" s="8" t="n">
        <f aca="false">Forecast!H$8*Inputs!$B$12^INT((15-7)/12)</f>
        <v>807.055412267885</v>
      </c>
      <c r="Q41" s="8" t="n">
        <f aca="false">Forecast!H$8*Inputs!$B$12^INT((16-7)/12)</f>
        <v>807.055412267885</v>
      </c>
      <c r="R41" s="8" t="n">
        <f aca="false">Forecast!H$8*Inputs!$B$12^INT((17-7)/12)</f>
        <v>807.055412267885</v>
      </c>
      <c r="S41" s="8" t="n">
        <f aca="false">Forecast!H$8*Inputs!$B$12^INT((18-7)/12)</f>
        <v>807.055412267885</v>
      </c>
      <c r="T41" s="8" t="n">
        <f aca="false">Forecast!H$8*Inputs!$B$12^INT((19-7)/12)</f>
        <v>565.67646506061</v>
      </c>
      <c r="U41" s="8" t="n">
        <f aca="false">Forecast!H$8*Inputs!$B$12^INT((20-7)/12)</f>
        <v>565.67646506061</v>
      </c>
      <c r="V41" s="8" t="n">
        <f aca="false">Forecast!H$8*Inputs!$B$12^INT((21-7)/12)</f>
        <v>565.67646506061</v>
      </c>
      <c r="W41" s="8" t="n">
        <f aca="false">Forecast!H$8*Inputs!$B$12^INT((22-7)/12)</f>
        <v>565.67646506061</v>
      </c>
      <c r="X41" s="8" t="n">
        <f aca="false">Forecast!H$8*Inputs!$B$12^INT((23-7)/12)</f>
        <v>565.67646506061</v>
      </c>
      <c r="Y41" s="8" t="n">
        <f aca="false">Forecast!H$8*Inputs!$B$12^INT((24-7)/12)</f>
        <v>565.67646506061</v>
      </c>
    </row>
    <row r="42" customFormat="false" ht="15" hidden="false" customHeight="false" outlineLevel="0" collapsed="false">
      <c r="A42" s="12" t="s">
        <v>48</v>
      </c>
      <c r="B42" s="28" t="n">
        <v>0</v>
      </c>
      <c r="C42" s="28" t="n">
        <v>0</v>
      </c>
      <c r="D42" s="28" t="n">
        <v>0</v>
      </c>
      <c r="E42" s="28" t="n">
        <v>0</v>
      </c>
      <c r="F42" s="28" t="n">
        <v>0</v>
      </c>
      <c r="G42" s="28" t="n">
        <v>0</v>
      </c>
      <c r="H42" s="28" t="n">
        <v>0</v>
      </c>
      <c r="I42" s="8" t="n">
        <f aca="false">Forecast!I$8*Inputs!$B$12^INT((8-8)/12)</f>
        <v>817.224123420299</v>
      </c>
      <c r="J42" s="8" t="n">
        <f aca="false">Forecast!I$8*Inputs!$B$12^INT((9-8)/12)</f>
        <v>817.224123420299</v>
      </c>
      <c r="K42" s="8" t="n">
        <f aca="false">Forecast!I$8*Inputs!$B$12^INT((10-8)/12)</f>
        <v>817.224123420299</v>
      </c>
      <c r="L42" s="8" t="n">
        <f aca="false">Forecast!I$8*Inputs!$B$12^INT((11-8)/12)</f>
        <v>817.224123420299</v>
      </c>
      <c r="M42" s="8" t="n">
        <f aca="false">Forecast!I$8*Inputs!$B$12^INT((12-8)/12)</f>
        <v>817.224123420299</v>
      </c>
      <c r="N42" s="8" t="n">
        <f aca="false">Forecast!I$8*Inputs!$B$12^INT((13-8)/12)</f>
        <v>817.224123420299</v>
      </c>
      <c r="O42" s="8" t="n">
        <f aca="false">Forecast!I$8*Inputs!$B$12^INT((14-8)/12)</f>
        <v>817.224123420299</v>
      </c>
      <c r="P42" s="8" t="n">
        <f aca="false">Forecast!I$8*Inputs!$B$12^INT((15-8)/12)</f>
        <v>817.224123420299</v>
      </c>
      <c r="Q42" s="8" t="n">
        <f aca="false">Forecast!I$8*Inputs!$B$12^INT((16-8)/12)</f>
        <v>817.224123420299</v>
      </c>
      <c r="R42" s="8" t="n">
        <f aca="false">Forecast!I$8*Inputs!$B$12^INT((17-8)/12)</f>
        <v>817.224123420299</v>
      </c>
      <c r="S42" s="8" t="n">
        <f aca="false">Forecast!I$8*Inputs!$B$12^INT((18-8)/12)</f>
        <v>817.224123420299</v>
      </c>
      <c r="T42" s="8" t="n">
        <f aca="false">Forecast!I$8*Inputs!$B$12^INT((19-8)/12)</f>
        <v>817.224123420299</v>
      </c>
      <c r="U42" s="8" t="n">
        <f aca="false">Forecast!I$8*Inputs!$B$12^INT((20-8)/12)</f>
        <v>572.803857419897</v>
      </c>
      <c r="V42" s="8" t="n">
        <f aca="false">Forecast!I$8*Inputs!$B$12^INT((21-8)/12)</f>
        <v>572.803857419897</v>
      </c>
      <c r="W42" s="8" t="n">
        <f aca="false">Forecast!I$8*Inputs!$B$12^INT((22-8)/12)</f>
        <v>572.803857419897</v>
      </c>
      <c r="X42" s="8" t="n">
        <f aca="false">Forecast!I$8*Inputs!$B$12^INT((23-8)/12)</f>
        <v>572.803857419897</v>
      </c>
      <c r="Y42" s="8" t="n">
        <f aca="false">Forecast!I$8*Inputs!$B$12^INT((24-8)/12)</f>
        <v>572.803857419897</v>
      </c>
    </row>
    <row r="43" customFormat="false" ht="15" hidden="false" customHeight="false" outlineLevel="0" collapsed="false">
      <c r="A43" s="12" t="s">
        <v>49</v>
      </c>
      <c r="B43" s="28" t="n">
        <v>0</v>
      </c>
      <c r="C43" s="28" t="n">
        <v>0</v>
      </c>
      <c r="D43" s="28" t="n">
        <v>0</v>
      </c>
      <c r="E43" s="28" t="n">
        <v>0</v>
      </c>
      <c r="F43" s="28" t="n">
        <v>0</v>
      </c>
      <c r="G43" s="28" t="n">
        <v>0</v>
      </c>
      <c r="H43" s="28" t="n">
        <v>0</v>
      </c>
      <c r="I43" s="28" t="n">
        <v>0</v>
      </c>
      <c r="J43" s="8" t="n">
        <f aca="false">Forecast!J$8*Inputs!$B$12^INT((9-9)/12)</f>
        <v>827.520957976545</v>
      </c>
      <c r="K43" s="8" t="n">
        <f aca="false">Forecast!J$8*Inputs!$B$12^INT((10-9)/12)</f>
        <v>827.520957976545</v>
      </c>
      <c r="L43" s="8" t="n">
        <f aca="false">Forecast!J$8*Inputs!$B$12^INT((11-9)/12)</f>
        <v>827.520957976545</v>
      </c>
      <c r="M43" s="8" t="n">
        <f aca="false">Forecast!J$8*Inputs!$B$12^INT((12-9)/12)</f>
        <v>827.520957976545</v>
      </c>
      <c r="N43" s="8" t="n">
        <f aca="false">Forecast!J$8*Inputs!$B$12^INT((13-9)/12)</f>
        <v>827.520957976545</v>
      </c>
      <c r="O43" s="8" t="n">
        <f aca="false">Forecast!J$8*Inputs!$B$12^INT((14-9)/12)</f>
        <v>827.520957976545</v>
      </c>
      <c r="P43" s="8" t="n">
        <f aca="false">Forecast!J$8*Inputs!$B$12^INT((15-9)/12)</f>
        <v>827.520957976545</v>
      </c>
      <c r="Q43" s="8" t="n">
        <f aca="false">Forecast!J$8*Inputs!$B$12^INT((16-9)/12)</f>
        <v>827.520957976545</v>
      </c>
      <c r="R43" s="8" t="n">
        <f aca="false">Forecast!J$8*Inputs!$B$12^INT((17-9)/12)</f>
        <v>827.520957976545</v>
      </c>
      <c r="S43" s="8" t="n">
        <f aca="false">Forecast!J$8*Inputs!$B$12^INT((18-9)/12)</f>
        <v>827.520957976545</v>
      </c>
      <c r="T43" s="8" t="n">
        <f aca="false">Forecast!J$8*Inputs!$B$12^INT((19-9)/12)</f>
        <v>827.520957976545</v>
      </c>
      <c r="U43" s="8" t="n">
        <f aca="false">Forecast!J$8*Inputs!$B$12^INT((20-9)/12)</f>
        <v>827.520957976545</v>
      </c>
      <c r="V43" s="8" t="n">
        <f aca="false">Forecast!J$8*Inputs!$B$12^INT((21-9)/12)</f>
        <v>580.021053271076</v>
      </c>
      <c r="W43" s="8" t="n">
        <f aca="false">Forecast!J$8*Inputs!$B$12^INT((22-9)/12)</f>
        <v>580.021053271076</v>
      </c>
      <c r="X43" s="8" t="n">
        <f aca="false">Forecast!J$8*Inputs!$B$12^INT((23-9)/12)</f>
        <v>580.021053271076</v>
      </c>
      <c r="Y43" s="8" t="n">
        <f aca="false">Forecast!J$8*Inputs!$B$12^INT((24-9)/12)</f>
        <v>580.021053271076</v>
      </c>
    </row>
    <row r="44" customFormat="false" ht="15" hidden="false" customHeight="false" outlineLevel="0" collapsed="false">
      <c r="A44" s="12" t="s">
        <v>50</v>
      </c>
      <c r="B44" s="28" t="n">
        <v>0</v>
      </c>
      <c r="C44" s="28" t="n">
        <v>0</v>
      </c>
      <c r="D44" s="28" t="n">
        <v>0</v>
      </c>
      <c r="E44" s="28" t="n">
        <v>0</v>
      </c>
      <c r="F44" s="28" t="n">
        <v>0</v>
      </c>
      <c r="G44" s="28" t="n">
        <v>0</v>
      </c>
      <c r="H44" s="28" t="n">
        <v>0</v>
      </c>
      <c r="I44" s="28" t="n">
        <v>0</v>
      </c>
      <c r="J44" s="28" t="n">
        <v>0</v>
      </c>
      <c r="K44" s="8" t="n">
        <f aca="false">Forecast!K$8*Inputs!$B$12^INT((10-10)/12)</f>
        <v>837.947530261818</v>
      </c>
      <c r="L44" s="8" t="n">
        <f aca="false">Forecast!K$8*Inputs!$B$12^INT((11-10)/12)</f>
        <v>837.947530261818</v>
      </c>
      <c r="M44" s="8" t="n">
        <f aca="false">Forecast!K$8*Inputs!$B$12^INT((12-10)/12)</f>
        <v>837.947530261818</v>
      </c>
      <c r="N44" s="8" t="n">
        <f aca="false">Forecast!K$8*Inputs!$B$12^INT((13-10)/12)</f>
        <v>837.947530261818</v>
      </c>
      <c r="O44" s="8" t="n">
        <f aca="false">Forecast!K$8*Inputs!$B$12^INT((14-10)/12)</f>
        <v>837.947530261818</v>
      </c>
      <c r="P44" s="8" t="n">
        <f aca="false">Forecast!K$8*Inputs!$B$12^INT((15-10)/12)</f>
        <v>837.947530261818</v>
      </c>
      <c r="Q44" s="8" t="n">
        <f aca="false">Forecast!K$8*Inputs!$B$12^INT((16-10)/12)</f>
        <v>837.947530261818</v>
      </c>
      <c r="R44" s="8" t="n">
        <f aca="false">Forecast!K$8*Inputs!$B$12^INT((17-10)/12)</f>
        <v>837.947530261818</v>
      </c>
      <c r="S44" s="8" t="n">
        <f aca="false">Forecast!K$8*Inputs!$B$12^INT((18-10)/12)</f>
        <v>837.947530261818</v>
      </c>
      <c r="T44" s="8" t="n">
        <f aca="false">Forecast!K$8*Inputs!$B$12^INT((19-10)/12)</f>
        <v>837.947530261818</v>
      </c>
      <c r="U44" s="8" t="n">
        <f aca="false">Forecast!K$8*Inputs!$B$12^INT((20-10)/12)</f>
        <v>837.947530261818</v>
      </c>
      <c r="V44" s="8" t="n">
        <f aca="false">Forecast!K$8*Inputs!$B$12^INT((21-10)/12)</f>
        <v>837.947530261818</v>
      </c>
      <c r="W44" s="8" t="n">
        <f aca="false">Forecast!K$8*Inputs!$B$12^INT((22-10)/12)</f>
        <v>587.329184117331</v>
      </c>
      <c r="X44" s="8" t="n">
        <f aca="false">Forecast!K$8*Inputs!$B$12^INT((23-10)/12)</f>
        <v>587.329184117331</v>
      </c>
      <c r="Y44" s="8" t="n">
        <f aca="false">Forecast!K$8*Inputs!$B$12^INT((24-10)/12)</f>
        <v>587.329184117331</v>
      </c>
    </row>
    <row r="45" customFormat="false" ht="15" hidden="false" customHeight="false" outlineLevel="0" collapsed="false">
      <c r="A45" s="12" t="s">
        <v>51</v>
      </c>
      <c r="B45" s="28" t="n">
        <v>0</v>
      </c>
      <c r="C45" s="28" t="n">
        <v>0</v>
      </c>
      <c r="D45" s="28" t="n">
        <v>0</v>
      </c>
      <c r="E45" s="28" t="n">
        <v>0</v>
      </c>
      <c r="F45" s="28" t="n">
        <v>0</v>
      </c>
      <c r="G45" s="28" t="n">
        <v>0</v>
      </c>
      <c r="H45" s="28" t="n">
        <v>0</v>
      </c>
      <c r="I45" s="28" t="n">
        <v>0</v>
      </c>
      <c r="J45" s="28" t="n">
        <v>0</v>
      </c>
      <c r="K45" s="28" t="n">
        <v>0</v>
      </c>
      <c r="L45" s="8" t="n">
        <f aca="false">Forecast!L$8*Inputs!$B$12^INT((11-11)/12)</f>
        <v>848.505474941436</v>
      </c>
      <c r="M45" s="8" t="n">
        <f aca="false">Forecast!L$8*Inputs!$B$12^INT((12-11)/12)</f>
        <v>848.505474941436</v>
      </c>
      <c r="N45" s="8" t="n">
        <f aca="false">Forecast!L$8*Inputs!$B$12^INT((13-11)/12)</f>
        <v>848.505474941436</v>
      </c>
      <c r="O45" s="8" t="n">
        <f aca="false">Forecast!L$8*Inputs!$B$12^INT((14-11)/12)</f>
        <v>848.505474941436</v>
      </c>
      <c r="P45" s="8" t="n">
        <f aca="false">Forecast!L$8*Inputs!$B$12^INT((15-11)/12)</f>
        <v>848.505474941436</v>
      </c>
      <c r="Q45" s="8" t="n">
        <f aca="false">Forecast!L$8*Inputs!$B$12^INT((16-11)/12)</f>
        <v>848.505474941436</v>
      </c>
      <c r="R45" s="8" t="n">
        <f aca="false">Forecast!L$8*Inputs!$B$12^INT((17-11)/12)</f>
        <v>848.505474941436</v>
      </c>
      <c r="S45" s="8" t="n">
        <f aca="false">Forecast!L$8*Inputs!$B$12^INT((18-11)/12)</f>
        <v>848.505474941436</v>
      </c>
      <c r="T45" s="8" t="n">
        <f aca="false">Forecast!L$8*Inputs!$B$12^INT((19-11)/12)</f>
        <v>848.505474941436</v>
      </c>
      <c r="U45" s="8" t="n">
        <f aca="false">Forecast!L$8*Inputs!$B$12^INT((20-11)/12)</f>
        <v>848.505474941436</v>
      </c>
      <c r="V45" s="8" t="n">
        <f aca="false">Forecast!L$8*Inputs!$B$12^INT((21-11)/12)</f>
        <v>848.505474941436</v>
      </c>
      <c r="W45" s="8" t="n">
        <f aca="false">Forecast!L$8*Inputs!$B$12^INT((22-11)/12)</f>
        <v>848.505474941436</v>
      </c>
      <c r="X45" s="8" t="n">
        <f aca="false">Forecast!L$8*Inputs!$B$12^INT((23-11)/12)</f>
        <v>594.729395718526</v>
      </c>
      <c r="Y45" s="8" t="n">
        <f aca="false">Forecast!L$8*Inputs!$B$12^INT((24-11)/12)</f>
        <v>594.729395718526</v>
      </c>
    </row>
    <row r="46" customFormat="false" ht="15" hidden="false" customHeight="false" outlineLevel="0" collapsed="false">
      <c r="A46" s="12" t="s">
        <v>52</v>
      </c>
      <c r="B46" s="28" t="n">
        <v>0</v>
      </c>
      <c r="C46" s="28" t="n">
        <v>0</v>
      </c>
      <c r="D46" s="28" t="n">
        <v>0</v>
      </c>
      <c r="E46" s="28" t="n">
        <v>0</v>
      </c>
      <c r="F46" s="28" t="n">
        <v>0</v>
      </c>
      <c r="G46" s="28" t="n">
        <v>0</v>
      </c>
      <c r="H46" s="28" t="n">
        <v>0</v>
      </c>
      <c r="I46" s="28" t="n">
        <v>0</v>
      </c>
      <c r="J46" s="28" t="n">
        <v>0</v>
      </c>
      <c r="K46" s="28" t="n">
        <v>0</v>
      </c>
      <c r="L46" s="28" t="n">
        <v>0</v>
      </c>
      <c r="M46" s="8" t="n">
        <f aca="false">Forecast!M$8*Inputs!$B$12^INT((12-12)/12)</f>
        <v>859.196447277121</v>
      </c>
      <c r="N46" s="8" t="n">
        <f aca="false">Forecast!M$8*Inputs!$B$12^INT((13-12)/12)</f>
        <v>859.196447277121</v>
      </c>
      <c r="O46" s="8" t="n">
        <f aca="false">Forecast!M$8*Inputs!$B$12^INT((14-12)/12)</f>
        <v>859.196447277121</v>
      </c>
      <c r="P46" s="8" t="n">
        <f aca="false">Forecast!M$8*Inputs!$B$12^INT((15-12)/12)</f>
        <v>859.196447277121</v>
      </c>
      <c r="Q46" s="8" t="n">
        <f aca="false">Forecast!M$8*Inputs!$B$12^INT((16-12)/12)</f>
        <v>859.196447277121</v>
      </c>
      <c r="R46" s="8" t="n">
        <f aca="false">Forecast!M$8*Inputs!$B$12^INT((17-12)/12)</f>
        <v>859.196447277121</v>
      </c>
      <c r="S46" s="8" t="n">
        <f aca="false">Forecast!M$8*Inputs!$B$12^INT((18-12)/12)</f>
        <v>859.196447277121</v>
      </c>
      <c r="T46" s="8" t="n">
        <f aca="false">Forecast!M$8*Inputs!$B$12^INT((19-12)/12)</f>
        <v>859.196447277121</v>
      </c>
      <c r="U46" s="8" t="n">
        <f aca="false">Forecast!M$8*Inputs!$B$12^INT((20-12)/12)</f>
        <v>859.196447277121</v>
      </c>
      <c r="V46" s="8" t="n">
        <f aca="false">Forecast!M$8*Inputs!$B$12^INT((21-12)/12)</f>
        <v>859.196447277121</v>
      </c>
      <c r="W46" s="8" t="n">
        <f aca="false">Forecast!M$8*Inputs!$B$12^INT((22-12)/12)</f>
        <v>859.196447277121</v>
      </c>
      <c r="X46" s="8" t="n">
        <f aca="false">Forecast!M$8*Inputs!$B$12^INT((23-12)/12)</f>
        <v>859.196447277121</v>
      </c>
      <c r="Y46" s="8" t="n">
        <f aca="false">Forecast!M$8*Inputs!$B$12^INT((24-12)/12)</f>
        <v>602.222848270832</v>
      </c>
    </row>
    <row r="47" customFormat="false" ht="15" hidden="false" customHeight="false" outlineLevel="0" collapsed="false">
      <c r="A47" s="12" t="s">
        <v>53</v>
      </c>
      <c r="B47" s="28" t="n">
        <v>0</v>
      </c>
      <c r="C47" s="28" t="n">
        <v>0</v>
      </c>
      <c r="D47" s="28" t="n">
        <v>0</v>
      </c>
      <c r="E47" s="28" t="n">
        <v>0</v>
      </c>
      <c r="F47" s="28" t="n">
        <v>0</v>
      </c>
      <c r="G47" s="28" t="n">
        <v>0</v>
      </c>
      <c r="H47" s="28" t="n">
        <v>0</v>
      </c>
      <c r="I47" s="28" t="n">
        <v>0</v>
      </c>
      <c r="J47" s="28" t="n">
        <v>0</v>
      </c>
      <c r="K47" s="28" t="n">
        <v>0</v>
      </c>
      <c r="L47" s="28" t="n">
        <v>0</v>
      </c>
      <c r="M47" s="28" t="n">
        <v>0</v>
      </c>
      <c r="N47" s="8" t="n">
        <f aca="false">Forecast!N$8*Inputs!$B$12^INT((13-13)/12)</f>
        <v>952.080901712173</v>
      </c>
      <c r="O47" s="8" t="n">
        <f aca="false">Forecast!N$8*Inputs!$B$12^INT((14-13)/12)</f>
        <v>952.080901712173</v>
      </c>
      <c r="P47" s="8" t="n">
        <f aca="false">Forecast!N$8*Inputs!$B$12^INT((15-13)/12)</f>
        <v>952.080901712173</v>
      </c>
      <c r="Q47" s="8" t="n">
        <f aca="false">Forecast!N$8*Inputs!$B$12^INT((16-13)/12)</f>
        <v>952.080901712173</v>
      </c>
      <c r="R47" s="8" t="n">
        <f aca="false">Forecast!N$8*Inputs!$B$12^INT((17-13)/12)</f>
        <v>952.080901712173</v>
      </c>
      <c r="S47" s="8" t="n">
        <f aca="false">Forecast!N$8*Inputs!$B$12^INT((18-13)/12)</f>
        <v>952.080901712173</v>
      </c>
      <c r="T47" s="8" t="n">
        <f aca="false">Forecast!N$8*Inputs!$B$12^INT((19-13)/12)</f>
        <v>952.080901712173</v>
      </c>
      <c r="U47" s="8" t="n">
        <f aca="false">Forecast!N$8*Inputs!$B$12^INT((20-13)/12)</f>
        <v>952.080901712173</v>
      </c>
      <c r="V47" s="8" t="n">
        <f aca="false">Forecast!N$8*Inputs!$B$12^INT((21-13)/12)</f>
        <v>952.080901712173</v>
      </c>
      <c r="W47" s="8" t="n">
        <f aca="false">Forecast!N$8*Inputs!$B$12^INT((22-13)/12)</f>
        <v>952.080901712173</v>
      </c>
      <c r="X47" s="8" t="n">
        <f aca="false">Forecast!N$8*Inputs!$B$12^INT((23-13)/12)</f>
        <v>952.080901712173</v>
      </c>
      <c r="Y47" s="8" t="n">
        <f aca="false">Forecast!N$8*Inputs!$B$12^INT((24-13)/12)</f>
        <v>952.080901712173</v>
      </c>
    </row>
    <row r="48" customFormat="false" ht="15" hidden="false" customHeight="false" outlineLevel="0" collapsed="false">
      <c r="A48" s="12" t="s">
        <v>54</v>
      </c>
      <c r="B48" s="28" t="n">
        <v>0</v>
      </c>
      <c r="C48" s="28" t="n">
        <v>0</v>
      </c>
      <c r="D48" s="28" t="n">
        <v>0</v>
      </c>
      <c r="E48" s="28" t="n">
        <v>0</v>
      </c>
      <c r="F48" s="28" t="n">
        <v>0</v>
      </c>
      <c r="G48" s="28" t="n">
        <v>0</v>
      </c>
      <c r="H48" s="28" t="n">
        <v>0</v>
      </c>
      <c r="I48" s="28" t="n">
        <v>0</v>
      </c>
      <c r="J48" s="28" t="n">
        <v>0</v>
      </c>
      <c r="K48" s="28" t="n">
        <v>0</v>
      </c>
      <c r="L48" s="28" t="n">
        <v>0</v>
      </c>
      <c r="M48" s="28" t="n">
        <v>0</v>
      </c>
      <c r="N48" s="28" t="n">
        <v>0</v>
      </c>
      <c r="O48" s="8" t="n">
        <f aca="false">Forecast!O$8*Inputs!$B$12^INT((14-14)/12)</f>
        <v>880.98420050593</v>
      </c>
      <c r="P48" s="8" t="n">
        <f aca="false">Forecast!O$8*Inputs!$B$12^INT((15-14)/12)</f>
        <v>880.98420050593</v>
      </c>
      <c r="Q48" s="8" t="n">
        <f aca="false">Forecast!O$8*Inputs!$B$12^INT((16-14)/12)</f>
        <v>880.98420050593</v>
      </c>
      <c r="R48" s="8" t="n">
        <f aca="false">Forecast!O$8*Inputs!$B$12^INT((17-14)/12)</f>
        <v>880.98420050593</v>
      </c>
      <c r="S48" s="8" t="n">
        <f aca="false">Forecast!O$8*Inputs!$B$12^INT((18-14)/12)</f>
        <v>880.98420050593</v>
      </c>
      <c r="T48" s="8" t="n">
        <f aca="false">Forecast!O$8*Inputs!$B$12^INT((19-14)/12)</f>
        <v>880.98420050593</v>
      </c>
      <c r="U48" s="8" t="n">
        <f aca="false">Forecast!O$8*Inputs!$B$12^INT((20-14)/12)</f>
        <v>880.98420050593</v>
      </c>
      <c r="V48" s="8" t="n">
        <f aca="false">Forecast!O$8*Inputs!$B$12^INT((21-14)/12)</f>
        <v>880.98420050593</v>
      </c>
      <c r="W48" s="8" t="n">
        <f aca="false">Forecast!O$8*Inputs!$B$12^INT((22-14)/12)</f>
        <v>880.98420050593</v>
      </c>
      <c r="X48" s="8" t="n">
        <f aca="false">Forecast!O$8*Inputs!$B$12^INT((23-14)/12)</f>
        <v>880.98420050593</v>
      </c>
      <c r="Y48" s="8" t="n">
        <f aca="false">Forecast!O$8*Inputs!$B$12^INT((24-14)/12)</f>
        <v>880.98420050593</v>
      </c>
    </row>
    <row r="49" customFormat="false" ht="15" hidden="false" customHeight="false" outlineLevel="0" collapsed="false">
      <c r="A49" s="12" t="s">
        <v>55</v>
      </c>
      <c r="B49" s="28" t="n">
        <v>0</v>
      </c>
      <c r="C49" s="28" t="n">
        <v>0</v>
      </c>
      <c r="D49" s="28" t="n">
        <v>0</v>
      </c>
      <c r="E49" s="28" t="n">
        <v>0</v>
      </c>
      <c r="F49" s="28" t="n">
        <v>0</v>
      </c>
      <c r="G49" s="28" t="n">
        <v>0</v>
      </c>
      <c r="H49" s="28" t="n">
        <v>0</v>
      </c>
      <c r="I49" s="28" t="n">
        <v>0</v>
      </c>
      <c r="J49" s="28" t="n">
        <v>0</v>
      </c>
      <c r="K49" s="28" t="n">
        <v>0</v>
      </c>
      <c r="L49" s="28" t="n">
        <v>0</v>
      </c>
      <c r="M49" s="28" t="n">
        <v>0</v>
      </c>
      <c r="N49" s="28" t="n">
        <v>0</v>
      </c>
      <c r="O49" s="28" t="n">
        <v>0</v>
      </c>
      <c r="P49" s="8" t="n">
        <f aca="false">Forecast!P$8*Inputs!$B$12^INT((15-15)/12)</f>
        <v>892.084397256499</v>
      </c>
      <c r="Q49" s="8" t="n">
        <f aca="false">Forecast!P$8*Inputs!$B$12^INT((16-15)/12)</f>
        <v>892.084397256499</v>
      </c>
      <c r="R49" s="8" t="n">
        <f aca="false">Forecast!P$8*Inputs!$B$12^INT((17-15)/12)</f>
        <v>892.084397256499</v>
      </c>
      <c r="S49" s="8" t="n">
        <f aca="false">Forecast!P$8*Inputs!$B$12^INT((18-15)/12)</f>
        <v>892.084397256499</v>
      </c>
      <c r="T49" s="8" t="n">
        <f aca="false">Forecast!P$8*Inputs!$B$12^INT((19-15)/12)</f>
        <v>892.084397256499</v>
      </c>
      <c r="U49" s="8" t="n">
        <f aca="false">Forecast!P$8*Inputs!$B$12^INT((20-15)/12)</f>
        <v>892.084397256499</v>
      </c>
      <c r="V49" s="8" t="n">
        <f aca="false">Forecast!P$8*Inputs!$B$12^INT((21-15)/12)</f>
        <v>892.084397256499</v>
      </c>
      <c r="W49" s="8" t="n">
        <f aca="false">Forecast!P$8*Inputs!$B$12^INT((22-15)/12)</f>
        <v>892.084397256499</v>
      </c>
      <c r="X49" s="8" t="n">
        <f aca="false">Forecast!P$8*Inputs!$B$12^INT((23-15)/12)</f>
        <v>892.084397256499</v>
      </c>
      <c r="Y49" s="8" t="n">
        <f aca="false">Forecast!P$8*Inputs!$B$12^INT((24-15)/12)</f>
        <v>892.084397256499</v>
      </c>
    </row>
    <row r="50" customFormat="false" ht="15" hidden="false" customHeight="false" outlineLevel="0" collapsed="false">
      <c r="A50" s="12" t="s">
        <v>56</v>
      </c>
      <c r="B50" s="28" t="n">
        <v>0</v>
      </c>
      <c r="C50" s="28" t="n">
        <v>0</v>
      </c>
      <c r="D50" s="28" t="n">
        <v>0</v>
      </c>
      <c r="E50" s="28" t="n">
        <v>0</v>
      </c>
      <c r="F50" s="28" t="n">
        <v>0</v>
      </c>
      <c r="G50" s="28" t="n">
        <v>0</v>
      </c>
      <c r="H50" s="28" t="n">
        <v>0</v>
      </c>
      <c r="I50" s="28" t="n">
        <v>0</v>
      </c>
      <c r="J50" s="28" t="n">
        <v>0</v>
      </c>
      <c r="K50" s="28" t="n">
        <v>0</v>
      </c>
      <c r="L50" s="28" t="n">
        <v>0</v>
      </c>
      <c r="M50" s="28" t="n">
        <v>0</v>
      </c>
      <c r="N50" s="28" t="n">
        <v>0</v>
      </c>
      <c r="O50" s="28" t="n">
        <v>0</v>
      </c>
      <c r="P50" s="28" t="n">
        <v>0</v>
      </c>
      <c r="Q50" s="8" t="n">
        <f aca="false">Forecast!Q$8*Inputs!$B$12^INT((16-16)/12)</f>
        <v>903.324453913556</v>
      </c>
      <c r="R50" s="8" t="n">
        <f aca="false">Forecast!Q$8*Inputs!$B$12^INT((17-16)/12)</f>
        <v>903.324453913556</v>
      </c>
      <c r="S50" s="8" t="n">
        <f aca="false">Forecast!Q$8*Inputs!$B$12^INT((18-16)/12)</f>
        <v>903.324453913556</v>
      </c>
      <c r="T50" s="8" t="n">
        <f aca="false">Forecast!Q$8*Inputs!$B$12^INT((19-16)/12)</f>
        <v>903.324453913556</v>
      </c>
      <c r="U50" s="8" t="n">
        <f aca="false">Forecast!Q$8*Inputs!$B$12^INT((20-16)/12)</f>
        <v>903.324453913556</v>
      </c>
      <c r="V50" s="8" t="n">
        <f aca="false">Forecast!Q$8*Inputs!$B$12^INT((21-16)/12)</f>
        <v>903.324453913556</v>
      </c>
      <c r="W50" s="8" t="n">
        <f aca="false">Forecast!Q$8*Inputs!$B$12^INT((22-16)/12)</f>
        <v>903.324453913556</v>
      </c>
      <c r="X50" s="8" t="n">
        <f aca="false">Forecast!Q$8*Inputs!$B$12^INT((23-16)/12)</f>
        <v>903.324453913556</v>
      </c>
      <c r="Y50" s="8" t="n">
        <f aca="false">Forecast!Q$8*Inputs!$B$12^INT((24-16)/12)</f>
        <v>903.324453913556</v>
      </c>
    </row>
    <row r="51" customFormat="false" ht="15" hidden="false" customHeight="false" outlineLevel="0" collapsed="false">
      <c r="A51" s="12" t="s">
        <v>57</v>
      </c>
      <c r="B51" s="28" t="n">
        <v>0</v>
      </c>
      <c r="C51" s="28" t="n">
        <v>0</v>
      </c>
      <c r="D51" s="28" t="n">
        <v>0</v>
      </c>
      <c r="E51" s="28" t="n">
        <v>0</v>
      </c>
      <c r="F51" s="28" t="n">
        <v>0</v>
      </c>
      <c r="G51" s="28" t="n">
        <v>0</v>
      </c>
      <c r="H51" s="28" t="n">
        <v>0</v>
      </c>
      <c r="I51" s="28" t="n">
        <v>0</v>
      </c>
      <c r="J51" s="28" t="n">
        <v>0</v>
      </c>
      <c r="K51" s="28" t="n">
        <v>0</v>
      </c>
      <c r="L51" s="28" t="n">
        <v>0</v>
      </c>
      <c r="M51" s="28" t="n">
        <v>0</v>
      </c>
      <c r="N51" s="28" t="n">
        <v>0</v>
      </c>
      <c r="O51" s="28" t="n">
        <v>0</v>
      </c>
      <c r="P51" s="28" t="n">
        <v>0</v>
      </c>
      <c r="Q51" s="28" t="n">
        <v>0</v>
      </c>
      <c r="R51" s="8" t="n">
        <f aca="false">Forecast!R$8*Inputs!$B$12^INT((17-17)/12)</f>
        <v>914.706132679511</v>
      </c>
      <c r="S51" s="8" t="n">
        <f aca="false">Forecast!R$8*Inputs!$B$12^INT((18-17)/12)</f>
        <v>914.706132679511</v>
      </c>
      <c r="T51" s="8" t="n">
        <f aca="false">Forecast!R$8*Inputs!$B$12^INT((19-17)/12)</f>
        <v>914.706132679511</v>
      </c>
      <c r="U51" s="8" t="n">
        <f aca="false">Forecast!R$8*Inputs!$B$12^INT((20-17)/12)</f>
        <v>914.706132679511</v>
      </c>
      <c r="V51" s="8" t="n">
        <f aca="false">Forecast!R$8*Inputs!$B$12^INT((21-17)/12)</f>
        <v>914.706132679511</v>
      </c>
      <c r="W51" s="8" t="n">
        <f aca="false">Forecast!R$8*Inputs!$B$12^INT((22-17)/12)</f>
        <v>914.706132679511</v>
      </c>
      <c r="X51" s="8" t="n">
        <f aca="false">Forecast!R$8*Inputs!$B$12^INT((23-17)/12)</f>
        <v>914.706132679511</v>
      </c>
      <c r="Y51" s="8" t="n">
        <f aca="false">Forecast!R$8*Inputs!$B$12^INT((24-17)/12)</f>
        <v>914.706132679511</v>
      </c>
    </row>
    <row r="52" customFormat="false" ht="15" hidden="false" customHeight="false" outlineLevel="0" collapsed="false">
      <c r="A52" s="12" t="s">
        <v>58</v>
      </c>
      <c r="B52" s="28" t="n">
        <v>0</v>
      </c>
      <c r="C52" s="28" t="n">
        <v>0</v>
      </c>
      <c r="D52" s="28" t="n">
        <v>0</v>
      </c>
      <c r="E52" s="28" t="n">
        <v>0</v>
      </c>
      <c r="F52" s="28" t="n">
        <v>0</v>
      </c>
      <c r="G52" s="28" t="n">
        <v>0</v>
      </c>
      <c r="H52" s="28" t="n">
        <v>0</v>
      </c>
      <c r="I52" s="28" t="n">
        <v>0</v>
      </c>
      <c r="J52" s="28" t="n">
        <v>0</v>
      </c>
      <c r="K52" s="28" t="n">
        <v>0</v>
      </c>
      <c r="L52" s="28" t="n">
        <v>0</v>
      </c>
      <c r="M52" s="28" t="n">
        <v>0</v>
      </c>
      <c r="N52" s="28" t="n">
        <v>0</v>
      </c>
      <c r="O52" s="28" t="n">
        <v>0</v>
      </c>
      <c r="P52" s="28" t="n">
        <v>0</v>
      </c>
      <c r="Q52" s="28" t="n">
        <v>0</v>
      </c>
      <c r="R52" s="28" t="n">
        <v>0</v>
      </c>
      <c r="S52" s="8" t="n">
        <f aca="false">Forecast!S$8*Inputs!$B$12^INT((18-18)/12)</f>
        <v>926.231217960113</v>
      </c>
      <c r="T52" s="8" t="n">
        <f aca="false">Forecast!S$8*Inputs!$B$12^INT((19-18)/12)</f>
        <v>926.231217960113</v>
      </c>
      <c r="U52" s="8" t="n">
        <f aca="false">Forecast!S$8*Inputs!$B$12^INT((20-18)/12)</f>
        <v>926.231217960113</v>
      </c>
      <c r="V52" s="8" t="n">
        <f aca="false">Forecast!S$8*Inputs!$B$12^INT((21-18)/12)</f>
        <v>926.231217960113</v>
      </c>
      <c r="W52" s="8" t="n">
        <f aca="false">Forecast!S$8*Inputs!$B$12^INT((22-18)/12)</f>
        <v>926.231217960113</v>
      </c>
      <c r="X52" s="8" t="n">
        <f aca="false">Forecast!S$8*Inputs!$B$12^INT((23-18)/12)</f>
        <v>926.231217960113</v>
      </c>
      <c r="Y52" s="8" t="n">
        <f aca="false">Forecast!S$8*Inputs!$B$12^INT((24-18)/12)</f>
        <v>926.231217960113</v>
      </c>
    </row>
    <row r="53" customFormat="false" ht="15" hidden="false" customHeight="false" outlineLevel="0" collapsed="false">
      <c r="A53" s="12" t="s">
        <v>59</v>
      </c>
      <c r="B53" s="28" t="n">
        <v>0</v>
      </c>
      <c r="C53" s="28" t="n">
        <v>0</v>
      </c>
      <c r="D53" s="28" t="n">
        <v>0</v>
      </c>
      <c r="E53" s="28" t="n">
        <v>0</v>
      </c>
      <c r="F53" s="28" t="n">
        <v>0</v>
      </c>
      <c r="G53" s="28" t="n">
        <v>0</v>
      </c>
      <c r="H53" s="28" t="n">
        <v>0</v>
      </c>
      <c r="I53" s="28" t="n">
        <v>0</v>
      </c>
      <c r="J53" s="28" t="n">
        <v>0</v>
      </c>
      <c r="K53" s="28" t="n">
        <v>0</v>
      </c>
      <c r="L53" s="28" t="n">
        <v>0</v>
      </c>
      <c r="M53" s="28" t="n">
        <v>0</v>
      </c>
      <c r="N53" s="28" t="n">
        <v>0</v>
      </c>
      <c r="O53" s="28" t="n">
        <v>0</v>
      </c>
      <c r="P53" s="28" t="n">
        <v>0</v>
      </c>
      <c r="Q53" s="28" t="n">
        <v>0</v>
      </c>
      <c r="R53" s="28" t="n">
        <v>0</v>
      </c>
      <c r="S53" s="28" t="n">
        <v>0</v>
      </c>
      <c r="T53" s="8" t="n">
        <f aca="false">Forecast!T$8*Inputs!$B$12^INT((19-19)/12)</f>
        <v>937.901516644212</v>
      </c>
      <c r="U53" s="8" t="n">
        <f aca="false">Forecast!T$8*Inputs!$B$12^INT((20-19)/12)</f>
        <v>937.901516644212</v>
      </c>
      <c r="V53" s="8" t="n">
        <f aca="false">Forecast!T$8*Inputs!$B$12^INT((21-19)/12)</f>
        <v>937.901516644212</v>
      </c>
      <c r="W53" s="8" t="n">
        <f aca="false">Forecast!T$8*Inputs!$B$12^INT((22-19)/12)</f>
        <v>937.901516644212</v>
      </c>
      <c r="X53" s="8" t="n">
        <f aca="false">Forecast!T$8*Inputs!$B$12^INT((23-19)/12)</f>
        <v>937.901516644212</v>
      </c>
      <c r="Y53" s="8" t="n">
        <f aca="false">Forecast!T$8*Inputs!$B$12^INT((24-19)/12)</f>
        <v>937.901516644212</v>
      </c>
    </row>
    <row r="54" customFormat="false" ht="15" hidden="false" customHeight="false" outlineLevel="0" collapsed="false">
      <c r="A54" s="12" t="s">
        <v>60</v>
      </c>
      <c r="B54" s="28" t="n">
        <v>0</v>
      </c>
      <c r="C54" s="28" t="n">
        <v>0</v>
      </c>
      <c r="D54" s="28" t="n">
        <v>0</v>
      </c>
      <c r="E54" s="28" t="n">
        <v>0</v>
      </c>
      <c r="F54" s="28" t="n">
        <v>0</v>
      </c>
      <c r="G54" s="28" t="n">
        <v>0</v>
      </c>
      <c r="H54" s="28" t="n">
        <v>0</v>
      </c>
      <c r="I54" s="28" t="n">
        <v>0</v>
      </c>
      <c r="J54" s="28" t="n">
        <v>0</v>
      </c>
      <c r="K54" s="28" t="n">
        <v>0</v>
      </c>
      <c r="L54" s="28" t="n">
        <v>0</v>
      </c>
      <c r="M54" s="28" t="n">
        <v>0</v>
      </c>
      <c r="N54" s="28" t="n">
        <v>0</v>
      </c>
      <c r="O54" s="28" t="n">
        <v>0</v>
      </c>
      <c r="P54" s="28" t="n">
        <v>0</v>
      </c>
      <c r="Q54" s="28" t="n">
        <v>0</v>
      </c>
      <c r="R54" s="28" t="n">
        <v>0</v>
      </c>
      <c r="S54" s="28" t="n">
        <v>0</v>
      </c>
      <c r="T54" s="28" t="n">
        <v>0</v>
      </c>
      <c r="U54" s="8" t="n">
        <f aca="false">Forecast!U$8*Inputs!$B$12^INT((20-20)/12)</f>
        <v>949.718858387036</v>
      </c>
      <c r="V54" s="8" t="n">
        <f aca="false">Forecast!U$8*Inputs!$B$12^INT((21-20)/12)</f>
        <v>949.718858387036</v>
      </c>
      <c r="W54" s="8" t="n">
        <f aca="false">Forecast!U$8*Inputs!$B$12^INT((22-20)/12)</f>
        <v>949.718858387036</v>
      </c>
      <c r="X54" s="8" t="n">
        <f aca="false">Forecast!U$8*Inputs!$B$12^INT((23-20)/12)</f>
        <v>949.718858387036</v>
      </c>
      <c r="Y54" s="8" t="n">
        <f aca="false">Forecast!U$8*Inputs!$B$12^INT((24-20)/12)</f>
        <v>949.718858387036</v>
      </c>
    </row>
    <row r="55" customFormat="false" ht="15" hidden="false" customHeight="false" outlineLevel="0" collapsed="false">
      <c r="A55" s="12" t="s">
        <v>61</v>
      </c>
      <c r="B55" s="28" t="n">
        <v>0</v>
      </c>
      <c r="C55" s="28" t="n">
        <v>0</v>
      </c>
      <c r="D55" s="28" t="n">
        <v>0</v>
      </c>
      <c r="E55" s="28" t="n">
        <v>0</v>
      </c>
      <c r="F55" s="28" t="n">
        <v>0</v>
      </c>
      <c r="G55" s="28" t="n">
        <v>0</v>
      </c>
      <c r="H55" s="28" t="n">
        <v>0</v>
      </c>
      <c r="I55" s="28" t="n">
        <v>0</v>
      </c>
      <c r="J55" s="28" t="n">
        <v>0</v>
      </c>
      <c r="K55" s="28" t="n">
        <v>0</v>
      </c>
      <c r="L55" s="28" t="n">
        <v>0</v>
      </c>
      <c r="M55" s="28" t="n">
        <v>0</v>
      </c>
      <c r="N55" s="28" t="n">
        <v>0</v>
      </c>
      <c r="O55" s="28" t="n">
        <v>0</v>
      </c>
      <c r="P55" s="28" t="n">
        <v>0</v>
      </c>
      <c r="Q55" s="28" t="n">
        <v>0</v>
      </c>
      <c r="R55" s="28" t="n">
        <v>0</v>
      </c>
      <c r="S55" s="28" t="n">
        <v>0</v>
      </c>
      <c r="T55" s="28" t="n">
        <v>0</v>
      </c>
      <c r="U55" s="28" t="n">
        <v>0</v>
      </c>
      <c r="V55" s="8" t="n">
        <f aca="false">Forecast!V$8*Inputs!$B$12^INT((21-21)/12)</f>
        <v>961.685095897047</v>
      </c>
      <c r="W55" s="8" t="n">
        <f aca="false">Forecast!V$8*Inputs!$B$12^INT((22-21)/12)</f>
        <v>961.685095897047</v>
      </c>
      <c r="X55" s="8" t="n">
        <f aca="false">Forecast!V$8*Inputs!$B$12^INT((23-21)/12)</f>
        <v>961.685095897047</v>
      </c>
      <c r="Y55" s="8" t="n">
        <f aca="false">Forecast!V$8*Inputs!$B$12^INT((24-21)/12)</f>
        <v>961.685095897047</v>
      </c>
    </row>
    <row r="56" customFormat="false" ht="15" hidden="false" customHeight="false" outlineLevel="0" collapsed="false">
      <c r="A56" s="12" t="s">
        <v>62</v>
      </c>
      <c r="B56" s="28" t="n">
        <v>0</v>
      </c>
      <c r="C56" s="28" t="n">
        <v>0</v>
      </c>
      <c r="D56" s="28" t="n">
        <v>0</v>
      </c>
      <c r="E56" s="28" t="n">
        <v>0</v>
      </c>
      <c r="F56" s="28" t="n">
        <v>0</v>
      </c>
      <c r="G56" s="28" t="n">
        <v>0</v>
      </c>
      <c r="H56" s="28" t="n">
        <v>0</v>
      </c>
      <c r="I56" s="28" t="n">
        <v>0</v>
      </c>
      <c r="J56" s="28" t="n">
        <v>0</v>
      </c>
      <c r="K56" s="28" t="n">
        <v>0</v>
      </c>
      <c r="L56" s="28" t="n">
        <v>0</v>
      </c>
      <c r="M56" s="28" t="n">
        <v>0</v>
      </c>
      <c r="N56" s="28" t="n">
        <v>0</v>
      </c>
      <c r="O56" s="28" t="n">
        <v>0</v>
      </c>
      <c r="P56" s="28" t="n">
        <v>0</v>
      </c>
      <c r="Q56" s="28" t="n">
        <v>0</v>
      </c>
      <c r="R56" s="28" t="n">
        <v>0</v>
      </c>
      <c r="S56" s="28" t="n">
        <v>0</v>
      </c>
      <c r="T56" s="28" t="n">
        <v>0</v>
      </c>
      <c r="U56" s="28" t="n">
        <v>0</v>
      </c>
      <c r="V56" s="28" t="n">
        <v>0</v>
      </c>
      <c r="W56" s="8" t="n">
        <f aca="false">Forecast!W$8*Inputs!$B$12^INT((22-22)/12)</f>
        <v>973.802105226405</v>
      </c>
      <c r="X56" s="8" t="n">
        <f aca="false">Forecast!W$8*Inputs!$B$12^INT((23-22)/12)</f>
        <v>973.802105226405</v>
      </c>
      <c r="Y56" s="8" t="n">
        <f aca="false">Forecast!W$8*Inputs!$B$12^INT((24-22)/12)</f>
        <v>973.802105226405</v>
      </c>
    </row>
    <row r="57" customFormat="false" ht="15" hidden="false" customHeight="false" outlineLevel="0" collapsed="false">
      <c r="A57" s="12" t="s">
        <v>63</v>
      </c>
      <c r="B57" s="28" t="n">
        <v>0</v>
      </c>
      <c r="C57" s="28" t="n">
        <v>0</v>
      </c>
      <c r="D57" s="28" t="n">
        <v>0</v>
      </c>
      <c r="E57" s="28" t="n">
        <v>0</v>
      </c>
      <c r="F57" s="28" t="n">
        <v>0</v>
      </c>
      <c r="G57" s="28" t="n">
        <v>0</v>
      </c>
      <c r="H57" s="28" t="n">
        <v>0</v>
      </c>
      <c r="I57" s="28" t="n">
        <v>0</v>
      </c>
      <c r="J57" s="28" t="n">
        <v>0</v>
      </c>
      <c r="K57" s="28" t="n">
        <v>0</v>
      </c>
      <c r="L57" s="28" t="n">
        <v>0</v>
      </c>
      <c r="M57" s="28" t="n">
        <v>0</v>
      </c>
      <c r="N57" s="28" t="n">
        <v>0</v>
      </c>
      <c r="O57" s="28" t="n">
        <v>0</v>
      </c>
      <c r="P57" s="28" t="n">
        <v>0</v>
      </c>
      <c r="Q57" s="28" t="n">
        <v>0</v>
      </c>
      <c r="R57" s="28" t="n">
        <v>0</v>
      </c>
      <c r="S57" s="28" t="n">
        <v>0</v>
      </c>
      <c r="T57" s="28" t="n">
        <v>0</v>
      </c>
      <c r="U57" s="28" t="n">
        <v>0</v>
      </c>
      <c r="V57" s="28" t="n">
        <v>0</v>
      </c>
      <c r="W57" s="28" t="n">
        <v>0</v>
      </c>
      <c r="X57" s="8" t="n">
        <f aca="false">Forecast!X$8*Inputs!$B$12^INT((23-23)/12)</f>
        <v>986.071786065088</v>
      </c>
      <c r="Y57" s="8" t="n">
        <f aca="false">Forecast!X$8*Inputs!$B$12^INT((24-23)/12)</f>
        <v>986.071786065088</v>
      </c>
    </row>
    <row r="58" customFormat="false" ht="15" hidden="false" customHeight="false" outlineLevel="0" collapsed="false">
      <c r="A58" s="12" t="s">
        <v>64</v>
      </c>
      <c r="B58" s="28" t="n">
        <v>0</v>
      </c>
      <c r="C58" s="28" t="n">
        <v>0</v>
      </c>
      <c r="D58" s="28" t="n">
        <v>0</v>
      </c>
      <c r="E58" s="28" t="n">
        <v>0</v>
      </c>
      <c r="F58" s="28" t="n">
        <v>0</v>
      </c>
      <c r="G58" s="28" t="n">
        <v>0</v>
      </c>
      <c r="H58" s="28" t="n">
        <v>0</v>
      </c>
      <c r="I58" s="28" t="n">
        <v>0</v>
      </c>
      <c r="J58" s="28" t="n">
        <v>0</v>
      </c>
      <c r="K58" s="28" t="n">
        <v>0</v>
      </c>
      <c r="L58" s="28" t="n">
        <v>0</v>
      </c>
      <c r="M58" s="28" t="n">
        <v>0</v>
      </c>
      <c r="N58" s="28" t="n">
        <v>0</v>
      </c>
      <c r="O58" s="28" t="n">
        <v>0</v>
      </c>
      <c r="P58" s="28" t="n">
        <v>0</v>
      </c>
      <c r="Q58" s="28" t="n">
        <v>0</v>
      </c>
      <c r="R58" s="28" t="n">
        <v>0</v>
      </c>
      <c r="S58" s="28" t="n">
        <v>0</v>
      </c>
      <c r="T58" s="28" t="n">
        <v>0</v>
      </c>
      <c r="U58" s="28" t="n">
        <v>0</v>
      </c>
      <c r="V58" s="28" t="n">
        <v>0</v>
      </c>
      <c r="W58" s="28" t="n">
        <v>0</v>
      </c>
      <c r="X58" s="28" t="n">
        <v>0</v>
      </c>
      <c r="Y58" s="8" t="n">
        <f aca="false">Forecast!Y$8*Inputs!$B$12^INT((24-24)/12)</f>
        <v>998.496062038734</v>
      </c>
    </row>
    <row r="59" customFormat="false" ht="15" hidden="false" customHeight="false" outlineLevel="0" collapsed="false">
      <c r="A59" s="5" t="s">
        <v>82</v>
      </c>
      <c r="B59" s="29" t="n">
        <f aca="false">SUM(B35:B58)</f>
        <v>888.015767599297</v>
      </c>
      <c r="C59" s="29" t="n">
        <f aca="false">SUM(C35:C58)</f>
        <v>1646.09436596297</v>
      </c>
      <c r="D59" s="29" t="n">
        <f aca="false">SUM(D35:D58)</f>
        <v>2413.72457897467</v>
      </c>
      <c r="E59" s="29" t="n">
        <f aca="false">SUM(E35:E58)</f>
        <v>3191.02675476529</v>
      </c>
      <c r="F59" s="29" t="n">
        <f aca="false">SUM(F35:F58)</f>
        <v>3978.12275782428</v>
      </c>
      <c r="G59" s="29" t="n">
        <f aca="false">SUM(G35:G58)</f>
        <v>4775.13598810542</v>
      </c>
      <c r="H59" s="29" t="n">
        <f aca="false">SUM(H35:H58)</f>
        <v>5582.19140037331</v>
      </c>
      <c r="I59" s="29" t="n">
        <f aca="false">SUM(I35:I58)</f>
        <v>6399.41552379361</v>
      </c>
      <c r="J59" s="29" t="n">
        <f aca="false">SUM(J35:J58)</f>
        <v>7226.93648177015</v>
      </c>
      <c r="K59" s="29" t="n">
        <f aca="false">SUM(K35:K58)</f>
        <v>8064.88401203197</v>
      </c>
      <c r="L59" s="29" t="n">
        <f aca="false">SUM(L35:L58)</f>
        <v>8913.3894869734</v>
      </c>
      <c r="M59" s="29" t="n">
        <f aca="false">SUM(M35:M58)</f>
        <v>9772.58593425053</v>
      </c>
      <c r="N59" s="29" t="n">
        <f aca="false">SUM(N35:N58)</f>
        <v>10459.0737827122</v>
      </c>
      <c r="O59" s="29" t="n">
        <f aca="false">SUM(O35:O58)</f>
        <v>11113.3273136855</v>
      </c>
      <c r="P59" s="29" t="n">
        <f aca="false">SUM(P35:P58)</f>
        <v>11775.8242875202</v>
      </c>
      <c r="Q59" s="29" t="n">
        <f aca="false">SUM(Q35:Q58)</f>
        <v>12446.6685696856</v>
      </c>
      <c r="R59" s="29" t="n">
        <f aca="false">SUM(R35:R58)</f>
        <v>13125.9653343323</v>
      </c>
      <c r="S59" s="29" t="n">
        <f aca="false">SUM(S35:S58)</f>
        <v>13813.8210807806</v>
      </c>
      <c r="T59" s="29" t="n">
        <f aca="false">SUM(T35:T58)</f>
        <v>14510.3436502176</v>
      </c>
      <c r="U59" s="29" t="n">
        <f aca="false">SUM(U35:U58)</f>
        <v>15215.6422426042</v>
      </c>
      <c r="V59" s="29" t="n">
        <f aca="false">SUM(V35:V58)</f>
        <v>15929.8274337958</v>
      </c>
      <c r="W59" s="29" t="n">
        <f aca="false">SUM(W35:W58)</f>
        <v>16653.0111928777</v>
      </c>
      <c r="X59" s="29" t="n">
        <f aca="false">SUM(X35:X58)</f>
        <v>17385.3068997199</v>
      </c>
      <c r="Y59" s="29" t="n">
        <f aca="false">SUM(Y35:Y58)</f>
        <v>18126.8293627523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2026-10-21T15:41:33Z</dcterms:created>
  <dc:creator>openpyxl</dc:creator>
  <dc:description/>
  <dc:language>en-US</dc:language>
  <cp:lastModifiedBy/>
  <dcterms:modified xsi:type="dcterms:W3CDTF">2026-10-21T15:41:33Z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